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30" yWindow="-150" windowWidth="9570" windowHeight="7770" tabRatio="880" activeTab="11"/>
  </bookViews>
  <sheets>
    <sheet name="SpectreH" sheetId="8" r:id="rId1"/>
    <sheet name="SpectreV" sheetId="16" r:id="rId2"/>
    <sheet name="Calcul1" sheetId="9" state="hidden" r:id="rId3"/>
    <sheet name="Données" sheetId="1" r:id="rId4"/>
    <sheet name="CALCUL RPA" sheetId="3" r:id="rId5"/>
    <sheet name="SPECTRE Hxy" sheetId="4" r:id="rId6"/>
    <sheet name="SPECTRE V" sheetId="17" r:id="rId7"/>
    <sheet name="EFFORT TRANCHANT" sheetId="2" r:id="rId8"/>
    <sheet name="DIAPHRAGME" sheetId="15" r:id="rId9"/>
    <sheet name="EFFET DE NOYAU" sheetId="14" r:id="rId10"/>
    <sheet name="DEPLACEMENT INTER ETAGE" sheetId="7" r:id="rId11"/>
    <sheet name="P-∆" sheetId="6" r:id="rId12"/>
    <sheet name="RENVERSEMENT" sheetId="5" r:id="rId13"/>
    <sheet name="RESISTANCE DES PLANCHERS" sheetId="13" r:id="rId14"/>
    <sheet name="About" sheetId="11" r:id="rId15"/>
  </sheets>
  <externalReferences>
    <externalReference r:id="rId16"/>
  </externalReferences>
  <definedNames>
    <definedName name="liste">[1]Feuil4!$B$3:$B$4</definedName>
  </definedNames>
  <calcPr calcId="125725"/>
</workbook>
</file>

<file path=xl/calcChain.xml><?xml version="1.0" encoding="utf-8"?>
<calcChain xmlns="http://schemas.openxmlformats.org/spreadsheetml/2006/main">
  <c r="D55" i="3"/>
  <c r="B80"/>
  <c r="E14" i="1"/>
  <c r="N11" i="16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10"/>
  <c r="W39" i="3"/>
  <c r="W31"/>
  <c r="Z37"/>
  <c r="I6" i="17" s="1"/>
  <c r="Z36" i="3"/>
  <c r="H6" i="17" s="1"/>
  <c r="Z34" i="3"/>
  <c r="F6" i="17" s="1"/>
  <c r="W40" i="3"/>
  <c r="W30"/>
  <c r="W32"/>
  <c r="Z35"/>
  <c r="G6" i="17" s="1"/>
  <c r="W41" i="3"/>
  <c r="W33"/>
  <c r="D3" i="17"/>
  <c r="F8" i="16"/>
  <c r="E3"/>
  <c r="Y28" i="9"/>
  <c r="T44" s="1"/>
  <c r="J8" i="16" s="1"/>
  <c r="V32" i="9"/>
  <c r="V24"/>
  <c r="P44"/>
  <c r="V31"/>
  <c r="Y27" s="1"/>
  <c r="V30"/>
  <c r="V29"/>
  <c r="V23"/>
  <c r="V22"/>
  <c r="Y26" s="1"/>
  <c r="R44" s="1"/>
  <c r="H8" i="16" s="1"/>
  <c r="V21" i="9"/>
  <c r="Y25" s="1"/>
  <c r="Q44" s="1"/>
  <c r="G8" i="16" s="1"/>
  <c r="C8" i="15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7"/>
  <c r="E3"/>
  <c r="D8"/>
  <c r="D9"/>
  <c r="I9" s="1"/>
  <c r="D10"/>
  <c r="J10" s="1"/>
  <c r="D11"/>
  <c r="I11" s="1"/>
  <c r="D12"/>
  <c r="D13"/>
  <c r="I13" s="1"/>
  <c r="D14"/>
  <c r="K14" s="1"/>
  <c r="D15"/>
  <c r="I15" s="1"/>
  <c r="D16"/>
  <c r="D17"/>
  <c r="I17" s="1"/>
  <c r="D18"/>
  <c r="J18" s="1"/>
  <c r="D19"/>
  <c r="I19" s="1"/>
  <c r="D20"/>
  <c r="D21"/>
  <c r="D22"/>
  <c r="I22" s="1"/>
  <c r="D23"/>
  <c r="K23" s="1"/>
  <c r="D24"/>
  <c r="D25"/>
  <c r="I25" s="1"/>
  <c r="D26"/>
  <c r="K26" s="1"/>
  <c r="D7"/>
  <c r="I7" s="1"/>
  <c r="I24"/>
  <c r="J24"/>
  <c r="J23"/>
  <c r="I21"/>
  <c r="I20"/>
  <c r="J20"/>
  <c r="J19"/>
  <c r="K18"/>
  <c r="I16"/>
  <c r="J16"/>
  <c r="K15"/>
  <c r="J15"/>
  <c r="I12"/>
  <c r="J12"/>
  <c r="J11"/>
  <c r="I8"/>
  <c r="J8"/>
  <c r="S44" i="9" l="1"/>
  <c r="I8" i="16" s="1"/>
  <c r="J7" i="15"/>
  <c r="K19"/>
  <c r="I23"/>
  <c r="I26"/>
  <c r="K22"/>
  <c r="I14"/>
  <c r="J22"/>
  <c r="J26"/>
  <c r="K7"/>
  <c r="K11"/>
  <c r="I10"/>
  <c r="K10" s="1"/>
  <c r="J14"/>
  <c r="I18"/>
  <c r="K13"/>
  <c r="K17"/>
  <c r="K21"/>
  <c r="K25"/>
  <c r="K8"/>
  <c r="J9"/>
  <c r="K9" s="1"/>
  <c r="K12"/>
  <c r="J13"/>
  <c r="K16"/>
  <c r="J17"/>
  <c r="K20"/>
  <c r="J21"/>
  <c r="K24"/>
  <c r="J25"/>
  <c r="E3" i="13" l="1"/>
  <c r="E3" i="7"/>
  <c r="E3" i="6"/>
  <c r="E3" i="5"/>
  <c r="E3" i="14"/>
  <c r="E3" i="2"/>
  <c r="D3" i="4"/>
  <c r="F3" i="1"/>
  <c r="E3" i="8"/>
  <c r="B71" i="3" l="1"/>
  <c r="B53"/>
  <c r="I39" i="2"/>
  <c r="I38"/>
  <c r="Q12" i="14"/>
  <c r="Q13"/>
  <c r="Q14"/>
  <c r="Q15"/>
  <c r="Q16"/>
  <c r="Q17"/>
  <c r="Q18"/>
  <c r="Q19"/>
  <c r="Q20"/>
  <c r="Q21"/>
  <c r="Q22"/>
  <c r="Q23"/>
  <c r="Q24"/>
  <c r="Q25"/>
  <c r="Q26"/>
  <c r="P12"/>
  <c r="P13"/>
  <c r="P14"/>
  <c r="P15"/>
  <c r="P16"/>
  <c r="P17"/>
  <c r="P18"/>
  <c r="P19"/>
  <c r="P20"/>
  <c r="P21"/>
  <c r="P22"/>
  <c r="P23"/>
  <c r="P24"/>
  <c r="P25"/>
  <c r="P26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7"/>
  <c r="N12"/>
  <c r="N13"/>
  <c r="N14"/>
  <c r="N15"/>
  <c r="N16"/>
  <c r="N17"/>
  <c r="N18"/>
  <c r="N19"/>
  <c r="N20"/>
  <c r="N21"/>
  <c r="N22"/>
  <c r="N23"/>
  <c r="N24"/>
  <c r="N25"/>
  <c r="N26"/>
  <c r="M9"/>
  <c r="M10"/>
  <c r="M12"/>
  <c r="M13"/>
  <c r="M14"/>
  <c r="M15"/>
  <c r="M16"/>
  <c r="M17"/>
  <c r="M18"/>
  <c r="M19"/>
  <c r="M20"/>
  <c r="M21"/>
  <c r="M22"/>
  <c r="M23"/>
  <c r="M24"/>
  <c r="M25"/>
  <c r="M26"/>
  <c r="L7"/>
  <c r="L8"/>
  <c r="N8" s="1"/>
  <c r="Q8" s="1"/>
  <c r="L9"/>
  <c r="L10"/>
  <c r="L11"/>
  <c r="N11" s="1"/>
  <c r="L12"/>
  <c r="L13"/>
  <c r="L14"/>
  <c r="L15"/>
  <c r="L16"/>
  <c r="L17"/>
  <c r="L18"/>
  <c r="L19"/>
  <c r="L20"/>
  <c r="L21"/>
  <c r="L22"/>
  <c r="L23"/>
  <c r="L24"/>
  <c r="L25"/>
  <c r="L2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J8"/>
  <c r="J9"/>
  <c r="N9" s="1"/>
  <c r="Q9" s="1"/>
  <c r="J10"/>
  <c r="N10" s="1"/>
  <c r="Q10" s="1"/>
  <c r="J11"/>
  <c r="J12"/>
  <c r="J13"/>
  <c r="J14"/>
  <c r="J15"/>
  <c r="J16"/>
  <c r="J17"/>
  <c r="J18"/>
  <c r="J19"/>
  <c r="J20"/>
  <c r="J21"/>
  <c r="J22"/>
  <c r="J23"/>
  <c r="J24"/>
  <c r="J25"/>
  <c r="J26"/>
  <c r="J7"/>
  <c r="N7" l="1"/>
  <c r="Q7" s="1"/>
  <c r="P9"/>
  <c r="Q11"/>
  <c r="P10"/>
  <c r="M8"/>
  <c r="P8" s="1"/>
  <c r="M7"/>
  <c r="P7" s="1"/>
  <c r="M11"/>
  <c r="P11" s="1"/>
  <c r="O5" l="1"/>
  <c r="D12" i="13"/>
  <c r="D13"/>
  <c r="D14"/>
  <c r="D15"/>
  <c r="D16"/>
  <c r="D17"/>
  <c r="D18"/>
  <c r="D19"/>
  <c r="D20"/>
  <c r="D21"/>
  <c r="D22"/>
  <c r="D23"/>
  <c r="D24"/>
  <c r="D25"/>
  <c r="D26"/>
  <c r="E15" i="1"/>
  <c r="E16"/>
  <c r="E17"/>
  <c r="E18"/>
  <c r="E19"/>
  <c r="D12" i="14" s="1"/>
  <c r="E20" i="1"/>
  <c r="D13" i="14" s="1"/>
  <c r="E21" i="1"/>
  <c r="D14" i="14" s="1"/>
  <c r="E22" i="1"/>
  <c r="D15" i="14" s="1"/>
  <c r="E23" i="1"/>
  <c r="D16" i="14" s="1"/>
  <c r="E24" i="1"/>
  <c r="D17" i="14" s="1"/>
  <c r="E25" i="1"/>
  <c r="D18" i="14" s="1"/>
  <c r="E26" i="1"/>
  <c r="D19" i="14" s="1"/>
  <c r="E27" i="1"/>
  <c r="D20" i="14" s="1"/>
  <c r="E28" i="1"/>
  <c r="D21" i="14" s="1"/>
  <c r="E29" i="1"/>
  <c r="D22" i="14" s="1"/>
  <c r="E30" i="1"/>
  <c r="D23" i="14" s="1"/>
  <c r="E31" i="1"/>
  <c r="D24" i="14" s="1"/>
  <c r="E32" i="1"/>
  <c r="D25" i="14" s="1"/>
  <c r="E33" i="1"/>
  <c r="D26" i="14" s="1"/>
  <c r="J26" i="13" l="1"/>
  <c r="M26"/>
  <c r="J22"/>
  <c r="M22"/>
  <c r="J18"/>
  <c r="M18"/>
  <c r="J14"/>
  <c r="M14"/>
  <c r="J23"/>
  <c r="M23"/>
  <c r="J19"/>
  <c r="M19"/>
  <c r="J15"/>
  <c r="M15"/>
  <c r="J24"/>
  <c r="M24"/>
  <c r="J20"/>
  <c r="M20"/>
  <c r="J16"/>
  <c r="M16"/>
  <c r="J12"/>
  <c r="M12"/>
  <c r="J25"/>
  <c r="M25"/>
  <c r="J21"/>
  <c r="M21"/>
  <c r="J17"/>
  <c r="M17"/>
  <c r="J13"/>
  <c r="M13"/>
  <c r="D7"/>
  <c r="D7" i="14"/>
  <c r="D11" i="13"/>
  <c r="D11" i="14"/>
  <c r="D9" i="13"/>
  <c r="D9" i="14"/>
  <c r="D10" i="13"/>
  <c r="D10" i="14"/>
  <c r="D8" i="13"/>
  <c r="D8" i="14"/>
  <c r="E34" i="1"/>
  <c r="D15" l="1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14"/>
  <c r="N8" i="3"/>
  <c r="C24" i="13" l="1"/>
  <c r="C24" i="14"/>
  <c r="C20" i="13"/>
  <c r="C20" i="14"/>
  <c r="C12" i="13"/>
  <c r="C12" i="14"/>
  <c r="C8" i="13"/>
  <c r="C8" i="14"/>
  <c r="C25" i="5"/>
  <c r="C25" i="14"/>
  <c r="C17" i="5"/>
  <c r="C17" i="14"/>
  <c r="C26" i="13"/>
  <c r="C26" i="14"/>
  <c r="C14" i="6"/>
  <c r="C14" i="14"/>
  <c r="C10" i="5"/>
  <c r="C10" i="14"/>
  <c r="C16" i="13"/>
  <c r="C16" i="14"/>
  <c r="C22" i="7"/>
  <c r="C21" i="14"/>
  <c r="C13" i="6"/>
  <c r="C13" i="14"/>
  <c r="C9" i="5"/>
  <c r="C9" i="14"/>
  <c r="C22" i="6"/>
  <c r="C22" i="14"/>
  <c r="C18" i="13"/>
  <c r="C18" i="14"/>
  <c r="C7" i="13"/>
  <c r="C7" i="14"/>
  <c r="C23" i="13"/>
  <c r="C23" i="14"/>
  <c r="C19" i="13"/>
  <c r="C19" i="14"/>
  <c r="C15" i="13"/>
  <c r="C15" i="14"/>
  <c r="C11" i="13"/>
  <c r="C11" i="14"/>
  <c r="C21" i="5"/>
  <c r="C13"/>
  <c r="C25" i="6"/>
  <c r="C17"/>
  <c r="C9"/>
  <c r="C26" i="7"/>
  <c r="C18"/>
  <c r="C14"/>
  <c r="C10"/>
  <c r="C25" i="13"/>
  <c r="C21"/>
  <c r="C17"/>
  <c r="C13"/>
  <c r="C9"/>
  <c r="C26" i="5"/>
  <c r="C18"/>
  <c r="C14"/>
  <c r="C26" i="6"/>
  <c r="C18"/>
  <c r="C10"/>
  <c r="C23" i="7"/>
  <c r="C19"/>
  <c r="C15"/>
  <c r="C11"/>
  <c r="C22" i="13"/>
  <c r="C14"/>
  <c r="C10"/>
  <c r="C24" i="5"/>
  <c r="C20"/>
  <c r="C16"/>
  <c r="C12"/>
  <c r="C8"/>
  <c r="C24" i="6"/>
  <c r="C20"/>
  <c r="C16"/>
  <c r="C12"/>
  <c r="C8"/>
  <c r="C25" i="7"/>
  <c r="C21"/>
  <c r="C17"/>
  <c r="C13"/>
  <c r="C9"/>
  <c r="C21" i="6"/>
  <c r="C22" i="5"/>
  <c r="C27" i="7"/>
  <c r="C7" i="5"/>
  <c r="C23"/>
  <c r="C19"/>
  <c r="C15"/>
  <c r="C11"/>
  <c r="C7" i="6"/>
  <c r="C23"/>
  <c r="C19"/>
  <c r="C15"/>
  <c r="C11"/>
  <c r="C8" i="7"/>
  <c r="C24"/>
  <c r="C20"/>
  <c r="C16"/>
  <c r="C12"/>
  <c r="F34" i="1"/>
  <c r="E8" i="13" l="1"/>
  <c r="E9"/>
  <c r="E10"/>
  <c r="E11"/>
  <c r="E12"/>
  <c r="E13"/>
  <c r="E14"/>
  <c r="E16"/>
  <c r="E17"/>
  <c r="E18"/>
  <c r="E19"/>
  <c r="E20"/>
  <c r="E21"/>
  <c r="E22"/>
  <c r="E23"/>
  <c r="E24"/>
  <c r="E25"/>
  <c r="E26"/>
  <c r="F12" i="5"/>
  <c r="H15" i="13" l="1"/>
  <c r="E15"/>
  <c r="H12"/>
  <c r="L25"/>
  <c r="G25"/>
  <c r="F25"/>
  <c r="L21"/>
  <c r="G21"/>
  <c r="F21"/>
  <c r="L17"/>
  <c r="G17"/>
  <c r="F17"/>
  <c r="L13"/>
  <c r="G13"/>
  <c r="F13"/>
  <c r="L26"/>
  <c r="G26"/>
  <c r="F26"/>
  <c r="L18"/>
  <c r="G18"/>
  <c r="F18"/>
  <c r="L14"/>
  <c r="G14"/>
  <c r="F14"/>
  <c r="L23"/>
  <c r="G23"/>
  <c r="F23"/>
  <c r="L19"/>
  <c r="G19"/>
  <c r="F19"/>
  <c r="L15"/>
  <c r="G15"/>
  <c r="F15"/>
  <c r="L24"/>
  <c r="G24"/>
  <c r="F24"/>
  <c r="L20"/>
  <c r="G20"/>
  <c r="F20"/>
  <c r="L16"/>
  <c r="G16"/>
  <c r="F16"/>
  <c r="L12"/>
  <c r="G12"/>
  <c r="F12"/>
  <c r="L22"/>
  <c r="G22"/>
  <c r="F22"/>
  <c r="H16"/>
  <c r="H20"/>
  <c r="I25"/>
  <c r="I17"/>
  <c r="I26"/>
  <c r="I18"/>
  <c r="I24"/>
  <c r="I20"/>
  <c r="I16"/>
  <c r="I12"/>
  <c r="H10"/>
  <c r="I21"/>
  <c r="I13"/>
  <c r="I22"/>
  <c r="I14"/>
  <c r="I23"/>
  <c r="I19"/>
  <c r="I15"/>
  <c r="H22"/>
  <c r="H21"/>
  <c r="H17"/>
  <c r="H13"/>
  <c r="K9"/>
  <c r="H11"/>
  <c r="H23"/>
  <c r="H18"/>
  <c r="H24"/>
  <c r="H19"/>
  <c r="H14"/>
  <c r="K25"/>
  <c r="K21"/>
  <c r="K17"/>
  <c r="K13"/>
  <c r="K10"/>
  <c r="K22"/>
  <c r="K18"/>
  <c r="K14"/>
  <c r="K23"/>
  <c r="K19"/>
  <c r="K15"/>
  <c r="K11"/>
  <c r="H8"/>
  <c r="K24"/>
  <c r="K20"/>
  <c r="K16"/>
  <c r="K12"/>
  <c r="K8"/>
  <c r="H9"/>
  <c r="K26"/>
  <c r="H26"/>
  <c r="H25"/>
  <c r="I40" i="3"/>
  <c r="F55"/>
  <c r="L9" i="13" l="1"/>
  <c r="L11"/>
  <c r="L8"/>
  <c r="I11"/>
  <c r="L10"/>
  <c r="I10"/>
  <c r="I8"/>
  <c r="I9"/>
  <c r="Q13" i="7"/>
  <c r="Q14"/>
  <c r="Q15"/>
  <c r="Q16"/>
  <c r="Q17"/>
  <c r="Q18"/>
  <c r="Q19"/>
  <c r="Q20"/>
  <c r="Q21"/>
  <c r="Q22"/>
  <c r="Q23"/>
  <c r="Q24"/>
  <c r="Q25"/>
  <c r="Q26"/>
  <c r="Q27"/>
  <c r="H13"/>
  <c r="H14"/>
  <c r="H15"/>
  <c r="H16"/>
  <c r="H17"/>
  <c r="H18"/>
  <c r="H19"/>
  <c r="H20"/>
  <c r="H21"/>
  <c r="H22"/>
  <c r="H23"/>
  <c r="H24"/>
  <c r="H25"/>
  <c r="H26"/>
  <c r="H27"/>
  <c r="C105" i="3" l="1"/>
  <c r="I9" i="2" s="1"/>
  <c r="F8" i="3"/>
  <c r="L13" i="7"/>
  <c r="L14"/>
  <c r="L15"/>
  <c r="L16"/>
  <c r="L17"/>
  <c r="L18"/>
  <c r="L19"/>
  <c r="L20"/>
  <c r="L21"/>
  <c r="L22"/>
  <c r="L23"/>
  <c r="L24"/>
  <c r="L25"/>
  <c r="L26"/>
  <c r="L27"/>
  <c r="I11" i="2"/>
  <c r="I10"/>
  <c r="I38" i="9"/>
  <c r="I32"/>
  <c r="I31"/>
  <c r="I30"/>
  <c r="I29"/>
  <c r="I24"/>
  <c r="L28" s="1"/>
  <c r="I23"/>
  <c r="L27" s="1"/>
  <c r="I22"/>
  <c r="I21"/>
  <c r="L25" s="1"/>
  <c r="G10"/>
  <c r="C8" i="16" s="1"/>
  <c r="F44" i="9"/>
  <c r="E44"/>
  <c r="E80" i="3"/>
  <c r="D80"/>
  <c r="C80"/>
  <c r="G10" i="8" l="1"/>
  <c r="F10"/>
  <c r="C44" i="9"/>
  <c r="O44"/>
  <c r="B44"/>
  <c r="V28"/>
  <c r="Y24" s="1"/>
  <c r="N44" s="1"/>
  <c r="V20"/>
  <c r="X89" i="3"/>
  <c r="W89"/>
  <c r="X90"/>
  <c r="W90"/>
  <c r="L26" i="9"/>
  <c r="G44" s="1"/>
  <c r="F80" i="3"/>
  <c r="H44" i="9"/>
  <c r="I44"/>
  <c r="D44"/>
  <c r="D8" i="16" l="1"/>
  <c r="V47" i="9"/>
  <c r="V51"/>
  <c r="V55"/>
  <c r="V59"/>
  <c r="V63"/>
  <c r="V67"/>
  <c r="V71"/>
  <c r="V75"/>
  <c r="V79"/>
  <c r="V83"/>
  <c r="V87"/>
  <c r="V91"/>
  <c r="V95"/>
  <c r="V99"/>
  <c r="V103"/>
  <c r="V107"/>
  <c r="V111"/>
  <c r="V115"/>
  <c r="V119"/>
  <c r="V123"/>
  <c r="V127"/>
  <c r="V131"/>
  <c r="V135"/>
  <c r="V139"/>
  <c r="V143"/>
  <c r="V147"/>
  <c r="V151"/>
  <c r="V155"/>
  <c r="V159"/>
  <c r="V163"/>
  <c r="V167"/>
  <c r="V171"/>
  <c r="V175"/>
  <c r="V179"/>
  <c r="V183"/>
  <c r="V187"/>
  <c r="V191"/>
  <c r="V195"/>
  <c r="V199"/>
  <c r="V203"/>
  <c r="V207"/>
  <c r="V211"/>
  <c r="V215"/>
  <c r="V219"/>
  <c r="V223"/>
  <c r="V227"/>
  <c r="V231"/>
  <c r="V235"/>
  <c r="V239"/>
  <c r="V243"/>
  <c r="V247"/>
  <c r="V251"/>
  <c r="V255"/>
  <c r="V259"/>
  <c r="V263"/>
  <c r="V267"/>
  <c r="V271"/>
  <c r="V275"/>
  <c r="V279"/>
  <c r="V283"/>
  <c r="V287"/>
  <c r="V291"/>
  <c r="V295"/>
  <c r="V299"/>
  <c r="V303"/>
  <c r="V307"/>
  <c r="V311"/>
  <c r="V315"/>
  <c r="V319"/>
  <c r="V323"/>
  <c r="V327"/>
  <c r="V331"/>
  <c r="V335"/>
  <c r="V339"/>
  <c r="V343"/>
  <c r="V347"/>
  <c r="V351"/>
  <c r="V355"/>
  <c r="V359"/>
  <c r="V363"/>
  <c r="V367"/>
  <c r="V371"/>
  <c r="V375"/>
  <c r="V379"/>
  <c r="V383"/>
  <c r="V387"/>
  <c r="V391"/>
  <c r="V395"/>
  <c r="V399"/>
  <c r="V403"/>
  <c r="V407"/>
  <c r="V411"/>
  <c r="V415"/>
  <c r="V419"/>
  <c r="V423"/>
  <c r="V427"/>
  <c r="V431"/>
  <c r="V435"/>
  <c r="V439"/>
  <c r="V443"/>
  <c r="V53"/>
  <c r="V61"/>
  <c r="V69"/>
  <c r="V77"/>
  <c r="V50"/>
  <c r="V54"/>
  <c r="V58"/>
  <c r="V62"/>
  <c r="V66"/>
  <c r="V70"/>
  <c r="V74"/>
  <c r="V78"/>
  <c r="V82"/>
  <c r="V86"/>
  <c r="V90"/>
  <c r="V94"/>
  <c r="V98"/>
  <c r="V102"/>
  <c r="V106"/>
  <c r="V110"/>
  <c r="V114"/>
  <c r="V118"/>
  <c r="V122"/>
  <c r="V126"/>
  <c r="V130"/>
  <c r="V134"/>
  <c r="V138"/>
  <c r="V142"/>
  <c r="V146"/>
  <c r="V150"/>
  <c r="V154"/>
  <c r="V158"/>
  <c r="V162"/>
  <c r="V166"/>
  <c r="V170"/>
  <c r="V174"/>
  <c r="V178"/>
  <c r="V182"/>
  <c r="V186"/>
  <c r="V190"/>
  <c r="V194"/>
  <c r="V198"/>
  <c r="V202"/>
  <c r="V206"/>
  <c r="V210"/>
  <c r="V214"/>
  <c r="V218"/>
  <c r="V222"/>
  <c r="V226"/>
  <c r="V230"/>
  <c r="V234"/>
  <c r="V238"/>
  <c r="V242"/>
  <c r="V246"/>
  <c r="V250"/>
  <c r="V254"/>
  <c r="V258"/>
  <c r="V262"/>
  <c r="V266"/>
  <c r="V270"/>
  <c r="V274"/>
  <c r="V278"/>
  <c r="V282"/>
  <c r="V286"/>
  <c r="V290"/>
  <c r="V294"/>
  <c r="V298"/>
  <c r="V302"/>
  <c r="V306"/>
  <c r="V310"/>
  <c r="V314"/>
  <c r="V318"/>
  <c r="V322"/>
  <c r="V326"/>
  <c r="V330"/>
  <c r="V334"/>
  <c r="V338"/>
  <c r="V342"/>
  <c r="V346"/>
  <c r="V350"/>
  <c r="V354"/>
  <c r="V358"/>
  <c r="V362"/>
  <c r="V366"/>
  <c r="V370"/>
  <c r="V374"/>
  <c r="V378"/>
  <c r="V382"/>
  <c r="V386"/>
  <c r="V390"/>
  <c r="V394"/>
  <c r="V398"/>
  <c r="V402"/>
  <c r="V406"/>
  <c r="V410"/>
  <c r="V414"/>
  <c r="V418"/>
  <c r="V422"/>
  <c r="V426"/>
  <c r="V430"/>
  <c r="V434"/>
  <c r="V438"/>
  <c r="V442"/>
  <c r="V446"/>
  <c r="V49"/>
  <c r="V57"/>
  <c r="V65"/>
  <c r="V73"/>
  <c r="V60"/>
  <c r="V76"/>
  <c r="V85"/>
  <c r="V93"/>
  <c r="V101"/>
  <c r="V109"/>
  <c r="V117"/>
  <c r="V125"/>
  <c r="V133"/>
  <c r="V141"/>
  <c r="V149"/>
  <c r="V157"/>
  <c r="V165"/>
  <c r="V173"/>
  <c r="V181"/>
  <c r="V189"/>
  <c r="V197"/>
  <c r="V205"/>
  <c r="V213"/>
  <c r="V221"/>
  <c r="V229"/>
  <c r="V237"/>
  <c r="V245"/>
  <c r="V253"/>
  <c r="V261"/>
  <c r="V269"/>
  <c r="V277"/>
  <c r="V285"/>
  <c r="V293"/>
  <c r="V301"/>
  <c r="V309"/>
  <c r="V317"/>
  <c r="V325"/>
  <c r="V333"/>
  <c r="V341"/>
  <c r="V349"/>
  <c r="V357"/>
  <c r="V365"/>
  <c r="V373"/>
  <c r="V381"/>
  <c r="V389"/>
  <c r="V397"/>
  <c r="V405"/>
  <c r="V413"/>
  <c r="V421"/>
  <c r="V429"/>
  <c r="V437"/>
  <c r="V445"/>
  <c r="V241"/>
  <c r="V265"/>
  <c r="V281"/>
  <c r="V297"/>
  <c r="V313"/>
  <c r="V329"/>
  <c r="V345"/>
  <c r="V361"/>
  <c r="V377"/>
  <c r="V393"/>
  <c r="V409"/>
  <c r="V425"/>
  <c r="V441"/>
  <c r="V48"/>
  <c r="V80"/>
  <c r="V96"/>
  <c r="V120"/>
  <c r="V136"/>
  <c r="V152"/>
  <c r="V168"/>
  <c r="V184"/>
  <c r="V200"/>
  <c r="V216"/>
  <c r="V232"/>
  <c r="V248"/>
  <c r="V264"/>
  <c r="V280"/>
  <c r="V296"/>
  <c r="V312"/>
  <c r="V328"/>
  <c r="V344"/>
  <c r="V360"/>
  <c r="V376"/>
  <c r="V392"/>
  <c r="V408"/>
  <c r="V424"/>
  <c r="V440"/>
  <c r="V56"/>
  <c r="V72"/>
  <c r="V84"/>
  <c r="V92"/>
  <c r="V100"/>
  <c r="V108"/>
  <c r="V116"/>
  <c r="V124"/>
  <c r="V132"/>
  <c r="V140"/>
  <c r="V148"/>
  <c r="V156"/>
  <c r="V164"/>
  <c r="V172"/>
  <c r="V180"/>
  <c r="V188"/>
  <c r="V196"/>
  <c r="V204"/>
  <c r="V212"/>
  <c r="V220"/>
  <c r="V228"/>
  <c r="V236"/>
  <c r="V244"/>
  <c r="V252"/>
  <c r="V260"/>
  <c r="V268"/>
  <c r="V276"/>
  <c r="V284"/>
  <c r="V292"/>
  <c r="V300"/>
  <c r="V308"/>
  <c r="V316"/>
  <c r="V324"/>
  <c r="V332"/>
  <c r="V340"/>
  <c r="V348"/>
  <c r="V356"/>
  <c r="V364"/>
  <c r="V372"/>
  <c r="V380"/>
  <c r="V388"/>
  <c r="V396"/>
  <c r="V404"/>
  <c r="V412"/>
  <c r="V420"/>
  <c r="V428"/>
  <c r="V436"/>
  <c r="V444"/>
  <c r="V52"/>
  <c r="V68"/>
  <c r="V81"/>
  <c r="V89"/>
  <c r="V97"/>
  <c r="V105"/>
  <c r="V113"/>
  <c r="V121"/>
  <c r="V129"/>
  <c r="V137"/>
  <c r="V145"/>
  <c r="V153"/>
  <c r="V161"/>
  <c r="V169"/>
  <c r="V177"/>
  <c r="V185"/>
  <c r="V193"/>
  <c r="V201"/>
  <c r="V209"/>
  <c r="V217"/>
  <c r="V225"/>
  <c r="V233"/>
  <c r="V249"/>
  <c r="V257"/>
  <c r="V273"/>
  <c r="V289"/>
  <c r="V305"/>
  <c r="V321"/>
  <c r="V337"/>
  <c r="V353"/>
  <c r="V369"/>
  <c r="V385"/>
  <c r="V401"/>
  <c r="V417"/>
  <c r="V433"/>
  <c r="E8" i="16"/>
  <c r="K8" s="1"/>
  <c r="V64" i="9"/>
  <c r="V88"/>
  <c r="V104"/>
  <c r="V112"/>
  <c r="V128"/>
  <c r="V144"/>
  <c r="V160"/>
  <c r="V176"/>
  <c r="V192"/>
  <c r="V208"/>
  <c r="V224"/>
  <c r="V240"/>
  <c r="V256"/>
  <c r="V272"/>
  <c r="V288"/>
  <c r="V304"/>
  <c r="V320"/>
  <c r="V336"/>
  <c r="V352"/>
  <c r="V368"/>
  <c r="V384"/>
  <c r="V400"/>
  <c r="V416"/>
  <c r="V432"/>
  <c r="I10" i="8"/>
  <c r="J10"/>
  <c r="D10"/>
  <c r="E10"/>
  <c r="C10"/>
  <c r="V46" i="9"/>
  <c r="K46"/>
  <c r="H10" i="8"/>
  <c r="K49" i="9"/>
  <c r="K53"/>
  <c r="K57"/>
  <c r="K61"/>
  <c r="K65"/>
  <c r="K69"/>
  <c r="K73"/>
  <c r="K77"/>
  <c r="K81"/>
  <c r="K85"/>
  <c r="K89"/>
  <c r="K93"/>
  <c r="K97"/>
  <c r="K101"/>
  <c r="K105"/>
  <c r="K109"/>
  <c r="K113"/>
  <c r="K117"/>
  <c r="K121"/>
  <c r="K125"/>
  <c r="K129"/>
  <c r="K133"/>
  <c r="K137"/>
  <c r="K141"/>
  <c r="K145"/>
  <c r="K149"/>
  <c r="K153"/>
  <c r="K157"/>
  <c r="K161"/>
  <c r="K165"/>
  <c r="K169"/>
  <c r="K173"/>
  <c r="K177"/>
  <c r="K181"/>
  <c r="K185"/>
  <c r="K189"/>
  <c r="K193"/>
  <c r="K197"/>
  <c r="K201"/>
  <c r="K205"/>
  <c r="K209"/>
  <c r="K213"/>
  <c r="K217"/>
  <c r="K221"/>
  <c r="K225"/>
  <c r="K229"/>
  <c r="K233"/>
  <c r="K237"/>
  <c r="K241"/>
  <c r="K245"/>
  <c r="K249"/>
  <c r="K253"/>
  <c r="K257"/>
  <c r="K261"/>
  <c r="K265"/>
  <c r="K269"/>
  <c r="K273"/>
  <c r="K277"/>
  <c r="K281"/>
  <c r="K285"/>
  <c r="K289"/>
  <c r="K293"/>
  <c r="K297"/>
  <c r="K301"/>
  <c r="K305"/>
  <c r="K309"/>
  <c r="K313"/>
  <c r="K317"/>
  <c r="K321"/>
  <c r="K325"/>
  <c r="K329"/>
  <c r="K333"/>
  <c r="K337"/>
  <c r="K341"/>
  <c r="K345"/>
  <c r="K349"/>
  <c r="K353"/>
  <c r="K357"/>
  <c r="K361"/>
  <c r="K365"/>
  <c r="K369"/>
  <c r="K373"/>
  <c r="K377"/>
  <c r="K381"/>
  <c r="K385"/>
  <c r="K389"/>
  <c r="K393"/>
  <c r="K397"/>
  <c r="K401"/>
  <c r="K405"/>
  <c r="K409"/>
  <c r="K413"/>
  <c r="K417"/>
  <c r="K421"/>
  <c r="K425"/>
  <c r="K429"/>
  <c r="K433"/>
  <c r="K437"/>
  <c r="K441"/>
  <c r="K445"/>
  <c r="K51"/>
  <c r="K59"/>
  <c r="K67"/>
  <c r="K75"/>
  <c r="K83"/>
  <c r="K48"/>
  <c r="K52"/>
  <c r="K56"/>
  <c r="K60"/>
  <c r="K64"/>
  <c r="K68"/>
  <c r="K72"/>
  <c r="K76"/>
  <c r="K80"/>
  <c r="K84"/>
  <c r="K88"/>
  <c r="K92"/>
  <c r="K96"/>
  <c r="K100"/>
  <c r="K104"/>
  <c r="K108"/>
  <c r="K112"/>
  <c r="K116"/>
  <c r="K120"/>
  <c r="K124"/>
  <c r="K128"/>
  <c r="K132"/>
  <c r="K136"/>
  <c r="K140"/>
  <c r="K144"/>
  <c r="K148"/>
  <c r="K152"/>
  <c r="K156"/>
  <c r="K160"/>
  <c r="K164"/>
  <c r="K168"/>
  <c r="K172"/>
  <c r="K176"/>
  <c r="K180"/>
  <c r="K184"/>
  <c r="K188"/>
  <c r="K192"/>
  <c r="K196"/>
  <c r="K200"/>
  <c r="K204"/>
  <c r="K208"/>
  <c r="K212"/>
  <c r="K216"/>
  <c r="K220"/>
  <c r="K224"/>
  <c r="K228"/>
  <c r="K232"/>
  <c r="K236"/>
  <c r="K240"/>
  <c r="K244"/>
  <c r="K248"/>
  <c r="K252"/>
  <c r="K256"/>
  <c r="K260"/>
  <c r="K264"/>
  <c r="K268"/>
  <c r="K272"/>
  <c r="K276"/>
  <c r="K280"/>
  <c r="K284"/>
  <c r="K288"/>
  <c r="K292"/>
  <c r="K296"/>
  <c r="K300"/>
  <c r="K304"/>
  <c r="K308"/>
  <c r="K312"/>
  <c r="K316"/>
  <c r="K320"/>
  <c r="K324"/>
  <c r="K328"/>
  <c r="K332"/>
  <c r="K336"/>
  <c r="K340"/>
  <c r="K344"/>
  <c r="K348"/>
  <c r="K352"/>
  <c r="K356"/>
  <c r="K360"/>
  <c r="K364"/>
  <c r="K368"/>
  <c r="K372"/>
  <c r="K376"/>
  <c r="K380"/>
  <c r="K384"/>
  <c r="K388"/>
  <c r="K392"/>
  <c r="K396"/>
  <c r="K400"/>
  <c r="K404"/>
  <c r="K408"/>
  <c r="K412"/>
  <c r="K416"/>
  <c r="K420"/>
  <c r="K424"/>
  <c r="K428"/>
  <c r="K432"/>
  <c r="K436"/>
  <c r="K440"/>
  <c r="K444"/>
  <c r="K47"/>
  <c r="K55"/>
  <c r="K63"/>
  <c r="K71"/>
  <c r="K79"/>
  <c r="K95"/>
  <c r="K135"/>
  <c r="K167"/>
  <c r="K191"/>
  <c r="K207"/>
  <c r="K231"/>
  <c r="K255"/>
  <c r="K279"/>
  <c r="K295"/>
  <c r="K319"/>
  <c r="K343"/>
  <c r="K367"/>
  <c r="K383"/>
  <c r="K407"/>
  <c r="K431"/>
  <c r="K214"/>
  <c r="K270"/>
  <c r="K294"/>
  <c r="K310"/>
  <c r="K326"/>
  <c r="K342"/>
  <c r="K358"/>
  <c r="K374"/>
  <c r="K390"/>
  <c r="K406"/>
  <c r="K422"/>
  <c r="K438"/>
  <c r="K50"/>
  <c r="K82"/>
  <c r="K99"/>
  <c r="K115"/>
  <c r="K131"/>
  <c r="K147"/>
  <c r="K163"/>
  <c r="K179"/>
  <c r="K195"/>
  <c r="K211"/>
  <c r="K227"/>
  <c r="K243"/>
  <c r="K259"/>
  <c r="K275"/>
  <c r="K291"/>
  <c r="K307"/>
  <c r="K323"/>
  <c r="K339"/>
  <c r="K355"/>
  <c r="K371"/>
  <c r="K387"/>
  <c r="K403"/>
  <c r="K419"/>
  <c r="K435"/>
  <c r="K62"/>
  <c r="K78"/>
  <c r="K90"/>
  <c r="K98"/>
  <c r="K106"/>
  <c r="K114"/>
  <c r="K122"/>
  <c r="K130"/>
  <c r="K138"/>
  <c r="K146"/>
  <c r="K154"/>
  <c r="K162"/>
  <c r="K170"/>
  <c r="K178"/>
  <c r="K186"/>
  <c r="K194"/>
  <c r="K202"/>
  <c r="K210"/>
  <c r="K218"/>
  <c r="K226"/>
  <c r="K234"/>
  <c r="K242"/>
  <c r="K250"/>
  <c r="K258"/>
  <c r="K266"/>
  <c r="K274"/>
  <c r="K282"/>
  <c r="K290"/>
  <c r="K298"/>
  <c r="K306"/>
  <c r="K314"/>
  <c r="K322"/>
  <c r="K330"/>
  <c r="K338"/>
  <c r="K346"/>
  <c r="K354"/>
  <c r="K362"/>
  <c r="K370"/>
  <c r="K378"/>
  <c r="K386"/>
  <c r="K394"/>
  <c r="K402"/>
  <c r="K410"/>
  <c r="K418"/>
  <c r="K426"/>
  <c r="K434"/>
  <c r="K442"/>
  <c r="K58"/>
  <c r="K74"/>
  <c r="K87"/>
  <c r="K103"/>
  <c r="K111"/>
  <c r="K119"/>
  <c r="K127"/>
  <c r="K143"/>
  <c r="K151"/>
  <c r="K159"/>
  <c r="K175"/>
  <c r="K183"/>
  <c r="K199"/>
  <c r="K215"/>
  <c r="K223"/>
  <c r="K239"/>
  <c r="K247"/>
  <c r="K263"/>
  <c r="K271"/>
  <c r="K287"/>
  <c r="K303"/>
  <c r="K311"/>
  <c r="K327"/>
  <c r="K335"/>
  <c r="K351"/>
  <c r="K359"/>
  <c r="K375"/>
  <c r="K391"/>
  <c r="K399"/>
  <c r="K415"/>
  <c r="K423"/>
  <c r="K439"/>
  <c r="K54"/>
  <c r="K70"/>
  <c r="K86"/>
  <c r="K94"/>
  <c r="K102"/>
  <c r="K110"/>
  <c r="K118"/>
  <c r="K126"/>
  <c r="K134"/>
  <c r="K142"/>
  <c r="K150"/>
  <c r="K158"/>
  <c r="K166"/>
  <c r="K174"/>
  <c r="K182"/>
  <c r="K190"/>
  <c r="K198"/>
  <c r="K206"/>
  <c r="K222"/>
  <c r="K230"/>
  <c r="K238"/>
  <c r="K246"/>
  <c r="K254"/>
  <c r="K262"/>
  <c r="K278"/>
  <c r="K286"/>
  <c r="K302"/>
  <c r="K318"/>
  <c r="K334"/>
  <c r="K350"/>
  <c r="K366"/>
  <c r="K382"/>
  <c r="K398"/>
  <c r="K414"/>
  <c r="K430"/>
  <c r="K446"/>
  <c r="K66"/>
  <c r="K91"/>
  <c r="K107"/>
  <c r="K123"/>
  <c r="K139"/>
  <c r="K155"/>
  <c r="K171"/>
  <c r="K187"/>
  <c r="K203"/>
  <c r="K219"/>
  <c r="K235"/>
  <c r="K251"/>
  <c r="K267"/>
  <c r="K283"/>
  <c r="K299"/>
  <c r="K315"/>
  <c r="K331"/>
  <c r="K347"/>
  <c r="K363"/>
  <c r="K379"/>
  <c r="K395"/>
  <c r="K411"/>
  <c r="K427"/>
  <c r="K443"/>
  <c r="U18" i="7"/>
  <c r="U19"/>
  <c r="U20"/>
  <c r="U21"/>
  <c r="U22"/>
  <c r="U23"/>
  <c r="U24"/>
  <c r="U25"/>
  <c r="U26"/>
  <c r="U27"/>
  <c r="R18"/>
  <c r="R19"/>
  <c r="R20"/>
  <c r="R21"/>
  <c r="R22"/>
  <c r="R23"/>
  <c r="R24"/>
  <c r="R25"/>
  <c r="R26"/>
  <c r="R27"/>
  <c r="T18"/>
  <c r="T19"/>
  <c r="T20"/>
  <c r="T21"/>
  <c r="T22"/>
  <c r="T23"/>
  <c r="T24"/>
  <c r="T25"/>
  <c r="T26"/>
  <c r="T27"/>
  <c r="S18"/>
  <c r="S19"/>
  <c r="S20"/>
  <c r="S21"/>
  <c r="S22"/>
  <c r="S23"/>
  <c r="S24"/>
  <c r="S25"/>
  <c r="S26"/>
  <c r="S27"/>
  <c r="P18"/>
  <c r="P19"/>
  <c r="P20"/>
  <c r="P21"/>
  <c r="P22"/>
  <c r="P23"/>
  <c r="P24"/>
  <c r="P25"/>
  <c r="P26"/>
  <c r="P27"/>
  <c r="N18"/>
  <c r="N19"/>
  <c r="N20"/>
  <c r="N21"/>
  <c r="N22"/>
  <c r="N23"/>
  <c r="N24"/>
  <c r="N25"/>
  <c r="N26"/>
  <c r="N27"/>
  <c r="I18"/>
  <c r="I19"/>
  <c r="I20"/>
  <c r="I21"/>
  <c r="I22"/>
  <c r="I23"/>
  <c r="I24"/>
  <c r="I25"/>
  <c r="I26"/>
  <c r="I27"/>
  <c r="G18"/>
  <c r="G19"/>
  <c r="G20"/>
  <c r="G21"/>
  <c r="G22"/>
  <c r="G23"/>
  <c r="G24"/>
  <c r="G25"/>
  <c r="G26"/>
  <c r="G27"/>
  <c r="M18"/>
  <c r="M19"/>
  <c r="M20"/>
  <c r="M21"/>
  <c r="M22"/>
  <c r="M23"/>
  <c r="M24"/>
  <c r="M25"/>
  <c r="M26"/>
  <c r="M27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8"/>
  <c r="K10" i="8" l="1"/>
  <c r="N361"/>
  <c r="N297"/>
  <c r="N233"/>
  <c r="N169"/>
  <c r="N105"/>
  <c r="N32"/>
  <c r="N364"/>
  <c r="N300"/>
  <c r="N244"/>
  <c r="N204"/>
  <c r="N164"/>
  <c r="N132"/>
  <c r="N100"/>
  <c r="N68"/>
  <c r="N20"/>
  <c r="N365"/>
  <c r="N317"/>
  <c r="N269"/>
  <c r="N213"/>
  <c r="N165"/>
  <c r="N117"/>
  <c r="N77"/>
  <c r="N24"/>
  <c r="N384"/>
  <c r="N352"/>
  <c r="N320"/>
  <c r="N288"/>
  <c r="N256"/>
  <c r="N224"/>
  <c r="N192"/>
  <c r="N160"/>
  <c r="N128"/>
  <c r="N96"/>
  <c r="N64"/>
  <c r="N401"/>
  <c r="N337"/>
  <c r="N273"/>
  <c r="N209"/>
  <c r="N145"/>
  <c r="N81"/>
  <c r="N404"/>
  <c r="N340"/>
  <c r="N276"/>
  <c r="N397"/>
  <c r="N309"/>
  <c r="N221"/>
  <c r="N133"/>
  <c r="N37"/>
  <c r="N410"/>
  <c r="N394"/>
  <c r="N378"/>
  <c r="N362"/>
  <c r="N346"/>
  <c r="N330"/>
  <c r="N314"/>
  <c r="N298"/>
  <c r="N282"/>
  <c r="N266"/>
  <c r="N250"/>
  <c r="N234"/>
  <c r="N218"/>
  <c r="N202"/>
  <c r="N186"/>
  <c r="N170"/>
  <c r="N154"/>
  <c r="N138"/>
  <c r="N122"/>
  <c r="N106"/>
  <c r="N90"/>
  <c r="N74"/>
  <c r="N58"/>
  <c r="N42"/>
  <c r="N26"/>
  <c r="N49"/>
  <c r="N17"/>
  <c r="N399"/>
  <c r="N383"/>
  <c r="N367"/>
  <c r="N351"/>
  <c r="N335"/>
  <c r="N319"/>
  <c r="N303"/>
  <c r="N287"/>
  <c r="N271"/>
  <c r="N255"/>
  <c r="N239"/>
  <c r="N223"/>
  <c r="N207"/>
  <c r="N191"/>
  <c r="N175"/>
  <c r="N159"/>
  <c r="N143"/>
  <c r="N127"/>
  <c r="N111"/>
  <c r="N95"/>
  <c r="N79"/>
  <c r="N63"/>
  <c r="N47"/>
  <c r="N31"/>
  <c r="N15"/>
  <c r="N377"/>
  <c r="N249"/>
  <c r="N121"/>
  <c r="N380"/>
  <c r="N252"/>
  <c r="N172"/>
  <c r="N108"/>
  <c r="N36"/>
  <c r="N381"/>
  <c r="N277"/>
  <c r="N181"/>
  <c r="N85"/>
  <c r="N392"/>
  <c r="N328"/>
  <c r="N264"/>
  <c r="N200"/>
  <c r="N136"/>
  <c r="N72"/>
  <c r="N353"/>
  <c r="N225"/>
  <c r="N97"/>
  <c r="N356"/>
  <c r="N180"/>
  <c r="N245"/>
  <c r="N45"/>
  <c r="N398"/>
  <c r="N366"/>
  <c r="N318"/>
  <c r="N286"/>
  <c r="N254"/>
  <c r="N222"/>
  <c r="N190"/>
  <c r="N158"/>
  <c r="N110"/>
  <c r="N78"/>
  <c r="N46"/>
  <c r="N14"/>
  <c r="N403"/>
  <c r="N371"/>
  <c r="N355"/>
  <c r="N323"/>
  <c r="N291"/>
  <c r="N259"/>
  <c r="N227"/>
  <c r="N195"/>
  <c r="N163"/>
  <c r="N115"/>
  <c r="N83"/>
  <c r="N51"/>
  <c r="N393"/>
  <c r="N329"/>
  <c r="N265"/>
  <c r="N201"/>
  <c r="N137"/>
  <c r="N73"/>
  <c r="N396"/>
  <c r="N332"/>
  <c r="N268"/>
  <c r="N220"/>
  <c r="N188"/>
  <c r="N148"/>
  <c r="N116"/>
  <c r="N84"/>
  <c r="N52"/>
  <c r="N389"/>
  <c r="N341"/>
  <c r="N293"/>
  <c r="N237"/>
  <c r="N189"/>
  <c r="N141"/>
  <c r="N93"/>
  <c r="N53"/>
  <c r="N400"/>
  <c r="N368"/>
  <c r="N336"/>
  <c r="N304"/>
  <c r="N272"/>
  <c r="N240"/>
  <c r="N208"/>
  <c r="N176"/>
  <c r="N144"/>
  <c r="N112"/>
  <c r="N80"/>
  <c r="N44"/>
  <c r="N369"/>
  <c r="N305"/>
  <c r="N241"/>
  <c r="N177"/>
  <c r="N113"/>
  <c r="N48"/>
  <c r="N372"/>
  <c r="N308"/>
  <c r="N236"/>
  <c r="N349"/>
  <c r="N261"/>
  <c r="N173"/>
  <c r="N61"/>
  <c r="N21"/>
  <c r="N402"/>
  <c r="N386"/>
  <c r="N370"/>
  <c r="N354"/>
  <c r="N338"/>
  <c r="N322"/>
  <c r="N306"/>
  <c r="N290"/>
  <c r="N274"/>
  <c r="N258"/>
  <c r="N242"/>
  <c r="N226"/>
  <c r="N210"/>
  <c r="N194"/>
  <c r="N178"/>
  <c r="N162"/>
  <c r="N146"/>
  <c r="N130"/>
  <c r="N114"/>
  <c r="N98"/>
  <c r="N82"/>
  <c r="N66"/>
  <c r="N50"/>
  <c r="N34"/>
  <c r="N18"/>
  <c r="N33"/>
  <c r="N407"/>
  <c r="N391"/>
  <c r="N375"/>
  <c r="N359"/>
  <c r="N343"/>
  <c r="N327"/>
  <c r="N311"/>
  <c r="N295"/>
  <c r="N279"/>
  <c r="N263"/>
  <c r="N247"/>
  <c r="N231"/>
  <c r="N215"/>
  <c r="N199"/>
  <c r="N183"/>
  <c r="N167"/>
  <c r="N151"/>
  <c r="N135"/>
  <c r="N119"/>
  <c r="N103"/>
  <c r="N87"/>
  <c r="N71"/>
  <c r="N55"/>
  <c r="N39"/>
  <c r="N23"/>
  <c r="N12"/>
  <c r="N313"/>
  <c r="N185"/>
  <c r="N57"/>
  <c r="N316"/>
  <c r="N212"/>
  <c r="N140"/>
  <c r="N76"/>
  <c r="N325"/>
  <c r="N229"/>
  <c r="N125"/>
  <c r="N40"/>
  <c r="N360"/>
  <c r="N296"/>
  <c r="N232"/>
  <c r="N168"/>
  <c r="N104"/>
  <c r="N28"/>
  <c r="N289"/>
  <c r="N161"/>
  <c r="N16"/>
  <c r="N292"/>
  <c r="N333"/>
  <c r="N157"/>
  <c r="N13"/>
  <c r="N382"/>
  <c r="N350"/>
  <c r="N334"/>
  <c r="N302"/>
  <c r="N270"/>
  <c r="N238"/>
  <c r="N206"/>
  <c r="N174"/>
  <c r="N142"/>
  <c r="N126"/>
  <c r="N94"/>
  <c r="N62"/>
  <c r="N30"/>
  <c r="N25"/>
  <c r="N387"/>
  <c r="N339"/>
  <c r="N307"/>
  <c r="N275"/>
  <c r="N243"/>
  <c r="N211"/>
  <c r="N179"/>
  <c r="N147"/>
  <c r="N131"/>
  <c r="N99"/>
  <c r="N67"/>
  <c r="N35"/>
  <c r="N19"/>
  <c r="N409"/>
  <c r="N345"/>
  <c r="N281"/>
  <c r="N217"/>
  <c r="N153"/>
  <c r="N89"/>
  <c r="N412"/>
  <c r="N348"/>
  <c r="N284"/>
  <c r="N228"/>
  <c r="N196"/>
  <c r="N156"/>
  <c r="N124"/>
  <c r="N92"/>
  <c r="N60"/>
  <c r="N405"/>
  <c r="N357"/>
  <c r="N301"/>
  <c r="N253"/>
  <c r="N205"/>
  <c r="N149"/>
  <c r="N109"/>
  <c r="N69"/>
  <c r="N408"/>
  <c r="N376"/>
  <c r="N344"/>
  <c r="N312"/>
  <c r="N280"/>
  <c r="N248"/>
  <c r="N216"/>
  <c r="N184"/>
  <c r="N152"/>
  <c r="N120"/>
  <c r="N88"/>
  <c r="N56"/>
  <c r="N385"/>
  <c r="N321"/>
  <c r="N257"/>
  <c r="N193"/>
  <c r="N129"/>
  <c r="N65"/>
  <c r="N388"/>
  <c r="N324"/>
  <c r="N260"/>
  <c r="N373"/>
  <c r="N285"/>
  <c r="N197"/>
  <c r="N101"/>
  <c r="N29"/>
  <c r="N406"/>
  <c r="N390"/>
  <c r="N374"/>
  <c r="N358"/>
  <c r="N342"/>
  <c r="N326"/>
  <c r="N310"/>
  <c r="N294"/>
  <c r="N278"/>
  <c r="N262"/>
  <c r="N246"/>
  <c r="N230"/>
  <c r="N214"/>
  <c r="N198"/>
  <c r="N182"/>
  <c r="N166"/>
  <c r="N150"/>
  <c r="N134"/>
  <c r="N118"/>
  <c r="N102"/>
  <c r="N86"/>
  <c r="N70"/>
  <c r="N54"/>
  <c r="N38"/>
  <c r="N22"/>
  <c r="N41"/>
  <c r="N411"/>
  <c r="N395"/>
  <c r="N379"/>
  <c r="N363"/>
  <c r="N347"/>
  <c r="N331"/>
  <c r="N315"/>
  <c r="N299"/>
  <c r="N283"/>
  <c r="N267"/>
  <c r="N251"/>
  <c r="N235"/>
  <c r="N219"/>
  <c r="N203"/>
  <c r="N187"/>
  <c r="N171"/>
  <c r="N155"/>
  <c r="N139"/>
  <c r="N123"/>
  <c r="N107"/>
  <c r="N91"/>
  <c r="N75"/>
  <c r="N59"/>
  <c r="N43"/>
  <c r="N27"/>
  <c r="F21" i="7"/>
  <c r="K21"/>
  <c r="K26"/>
  <c r="F26"/>
  <c r="K10"/>
  <c r="F10"/>
  <c r="K17"/>
  <c r="F17"/>
  <c r="F9"/>
  <c r="K9"/>
  <c r="K14"/>
  <c r="F14"/>
  <c r="K27"/>
  <c r="F27"/>
  <c r="K11"/>
  <c r="F11"/>
  <c r="F25"/>
  <c r="K25"/>
  <c r="F13"/>
  <c r="K13"/>
  <c r="K22"/>
  <c r="F22"/>
  <c r="K18"/>
  <c r="F18"/>
  <c r="K23"/>
  <c r="F23"/>
  <c r="K19"/>
  <c r="F19"/>
  <c r="K15"/>
  <c r="F15"/>
  <c r="K8"/>
  <c r="F8"/>
  <c r="K24"/>
  <c r="F24"/>
  <c r="K20"/>
  <c r="F20"/>
  <c r="K16"/>
  <c r="F16"/>
  <c r="K12"/>
  <c r="F12"/>
  <c r="E21"/>
  <c r="J21"/>
  <c r="E13"/>
  <c r="J13"/>
  <c r="J22"/>
  <c r="E22"/>
  <c r="E27"/>
  <c r="J27"/>
  <c r="J23"/>
  <c r="E23"/>
  <c r="E19"/>
  <c r="J19"/>
  <c r="E15"/>
  <c r="J15"/>
  <c r="E25"/>
  <c r="J25"/>
  <c r="E17"/>
  <c r="J17"/>
  <c r="J26"/>
  <c r="E26"/>
  <c r="J18"/>
  <c r="E18"/>
  <c r="J14"/>
  <c r="E14"/>
  <c r="J24"/>
  <c r="E24"/>
  <c r="E20"/>
  <c r="J20"/>
  <c r="J16"/>
  <c r="E16"/>
  <c r="H9"/>
  <c r="Q9"/>
  <c r="H10"/>
  <c r="Q10"/>
  <c r="H11"/>
  <c r="Q11"/>
  <c r="H8"/>
  <c r="Q8"/>
  <c r="H12"/>
  <c r="Q12"/>
  <c r="M17"/>
  <c r="M13"/>
  <c r="M9"/>
  <c r="M14"/>
  <c r="M10"/>
  <c r="M15"/>
  <c r="M11"/>
  <c r="M8"/>
  <c r="M16"/>
  <c r="M12"/>
  <c r="T10"/>
  <c r="T11"/>
  <c r="T17"/>
  <c r="T13"/>
  <c r="T9"/>
  <c r="T14"/>
  <c r="T15"/>
  <c r="T8"/>
  <c r="T16"/>
  <c r="T12"/>
  <c r="E8" i="5"/>
  <c r="E9"/>
  <c r="E10"/>
  <c r="E11"/>
  <c r="D11" s="1"/>
  <c r="E12"/>
  <c r="E13"/>
  <c r="E14"/>
  <c r="E15"/>
  <c r="E16"/>
  <c r="E17"/>
  <c r="E18"/>
  <c r="E19"/>
  <c r="E20"/>
  <c r="E21"/>
  <c r="E22"/>
  <c r="E23"/>
  <c r="E24"/>
  <c r="E25"/>
  <c r="E26"/>
  <c r="E7"/>
  <c r="D7" s="1"/>
  <c r="D8" i="6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7"/>
  <c r="G12" i="5"/>
  <c r="I12" s="1"/>
  <c r="M12"/>
  <c r="L12"/>
  <c r="F22" i="6" l="1"/>
  <c r="L22"/>
  <c r="L19"/>
  <c r="F19"/>
  <c r="L15"/>
  <c r="F15"/>
  <c r="L24"/>
  <c r="F24"/>
  <c r="L20"/>
  <c r="F20"/>
  <c r="L16"/>
  <c r="F16"/>
  <c r="L12"/>
  <c r="F12"/>
  <c r="L25"/>
  <c r="F25"/>
  <c r="L21"/>
  <c r="F21"/>
  <c r="L17"/>
  <c r="F17"/>
  <c r="L13"/>
  <c r="F13"/>
  <c r="F26"/>
  <c r="L26"/>
  <c r="F18"/>
  <c r="L18"/>
  <c r="F14"/>
  <c r="L14"/>
  <c r="L23"/>
  <c r="F23"/>
  <c r="J20"/>
  <c r="Q20"/>
  <c r="J12"/>
  <c r="Q12"/>
  <c r="J21"/>
  <c r="Q21"/>
  <c r="J13"/>
  <c r="Q13"/>
  <c r="J26"/>
  <c r="Q26"/>
  <c r="J22"/>
  <c r="Q22"/>
  <c r="J18"/>
  <c r="Q18"/>
  <c r="J14"/>
  <c r="Q14"/>
  <c r="J24"/>
  <c r="Q24"/>
  <c r="J16"/>
  <c r="Q16"/>
  <c r="J25"/>
  <c r="Q25"/>
  <c r="J17"/>
  <c r="Q17"/>
  <c r="J23"/>
  <c r="Q23"/>
  <c r="J19"/>
  <c r="Q19"/>
  <c r="J15"/>
  <c r="Q15"/>
  <c r="H20" i="5"/>
  <c r="D20"/>
  <c r="K20" s="1"/>
  <c r="N20" s="1"/>
  <c r="H16"/>
  <c r="D16"/>
  <c r="K16" s="1"/>
  <c r="D8"/>
  <c r="K8" s="1"/>
  <c r="H25"/>
  <c r="D25"/>
  <c r="K25" s="1"/>
  <c r="N25" s="1"/>
  <c r="H21"/>
  <c r="D21"/>
  <c r="K21" s="1"/>
  <c r="N21" s="1"/>
  <c r="H17"/>
  <c r="D17"/>
  <c r="K17" s="1"/>
  <c r="N17" s="1"/>
  <c r="D13"/>
  <c r="H13"/>
  <c r="D9"/>
  <c r="H9" s="1"/>
  <c r="H24"/>
  <c r="D24"/>
  <c r="K24" s="1"/>
  <c r="N24" s="1"/>
  <c r="H12"/>
  <c r="D12"/>
  <c r="K12" s="1"/>
  <c r="N12" s="1"/>
  <c r="D26"/>
  <c r="K26" s="1"/>
  <c r="N26" s="1"/>
  <c r="H26"/>
  <c r="D22"/>
  <c r="K22" s="1"/>
  <c r="N22" s="1"/>
  <c r="H22"/>
  <c r="D18"/>
  <c r="K18" s="1"/>
  <c r="N18" s="1"/>
  <c r="H18"/>
  <c r="D14"/>
  <c r="H14"/>
  <c r="D10"/>
  <c r="H10" s="1"/>
  <c r="H23"/>
  <c r="D23"/>
  <c r="K23" s="1"/>
  <c r="N23" s="1"/>
  <c r="D19"/>
  <c r="K19" s="1"/>
  <c r="N19" s="1"/>
  <c r="H19"/>
  <c r="H15"/>
  <c r="D15"/>
  <c r="H7"/>
  <c r="H11"/>
  <c r="M24" i="6"/>
  <c r="M20"/>
  <c r="M12"/>
  <c r="M25"/>
  <c r="M17"/>
  <c r="M26"/>
  <c r="M18"/>
  <c r="M14"/>
  <c r="M16"/>
  <c r="M21"/>
  <c r="M13"/>
  <c r="M22"/>
  <c r="M23"/>
  <c r="M19"/>
  <c r="M15"/>
  <c r="E26"/>
  <c r="K26" s="1"/>
  <c r="G22"/>
  <c r="P22" s="1"/>
  <c r="G18"/>
  <c r="P18" s="1"/>
  <c r="E25"/>
  <c r="K25" s="1"/>
  <c r="G25"/>
  <c r="P25" s="1"/>
  <c r="E21"/>
  <c r="K21" s="1"/>
  <c r="G21"/>
  <c r="P21" s="1"/>
  <c r="E17"/>
  <c r="K17" s="1"/>
  <c r="G17"/>
  <c r="P17" s="1"/>
  <c r="E13"/>
  <c r="K13" s="1"/>
  <c r="E9"/>
  <c r="H18"/>
  <c r="H10"/>
  <c r="E18"/>
  <c r="K18" s="1"/>
  <c r="G26"/>
  <c r="P26" s="1"/>
  <c r="G23"/>
  <c r="P23" s="1"/>
  <c r="G19"/>
  <c r="P19" s="1"/>
  <c r="G24"/>
  <c r="P24" s="1"/>
  <c r="G20"/>
  <c r="P20" s="1"/>
  <c r="E16"/>
  <c r="K16" s="1"/>
  <c r="E12"/>
  <c r="K12" s="1"/>
  <c r="E8"/>
  <c r="H26"/>
  <c r="N14"/>
  <c r="N22"/>
  <c r="E10"/>
  <c r="H23"/>
  <c r="N7"/>
  <c r="N11"/>
  <c r="E23"/>
  <c r="K23" s="1"/>
  <c r="H7"/>
  <c r="H19"/>
  <c r="H11"/>
  <c r="N23"/>
  <c r="N15"/>
  <c r="E7"/>
  <c r="E19"/>
  <c r="K19" s="1"/>
  <c r="E11"/>
  <c r="H22"/>
  <c r="H14"/>
  <c r="N26"/>
  <c r="N18"/>
  <c r="N10"/>
  <c r="E22"/>
  <c r="K22" s="1"/>
  <c r="E14"/>
  <c r="K14" s="1"/>
  <c r="H15"/>
  <c r="N19"/>
  <c r="E15"/>
  <c r="K15" s="1"/>
  <c r="H24"/>
  <c r="H20"/>
  <c r="H16"/>
  <c r="H12"/>
  <c r="H8"/>
  <c r="N24"/>
  <c r="N20"/>
  <c r="N16"/>
  <c r="N12"/>
  <c r="N8"/>
  <c r="E24"/>
  <c r="K24" s="1"/>
  <c r="E20"/>
  <c r="K20" s="1"/>
  <c r="H25"/>
  <c r="H21"/>
  <c r="H17"/>
  <c r="H13"/>
  <c r="H9"/>
  <c r="N25"/>
  <c r="N21"/>
  <c r="N17"/>
  <c r="N13"/>
  <c r="N9"/>
  <c r="O12" i="5"/>
  <c r="K9" l="1"/>
  <c r="N8" s="1"/>
  <c r="H8"/>
  <c r="H27" s="1"/>
  <c r="O26" i="6"/>
  <c r="K7" i="5"/>
  <c r="N7" s="1"/>
  <c r="K15"/>
  <c r="N15" s="1"/>
  <c r="K14"/>
  <c r="N14" s="1"/>
  <c r="K11"/>
  <c r="N11" s="1"/>
  <c r="K10"/>
  <c r="K13"/>
  <c r="N13" s="1"/>
  <c r="I26" i="6"/>
  <c r="N16" i="5"/>
  <c r="O25" i="6"/>
  <c r="I25"/>
  <c r="I24"/>
  <c r="O24"/>
  <c r="O19"/>
  <c r="I19"/>
  <c r="I18"/>
  <c r="O18"/>
  <c r="O17"/>
  <c r="I17"/>
  <c r="I20"/>
  <c r="O20"/>
  <c r="O22"/>
  <c r="I22"/>
  <c r="O23"/>
  <c r="I23"/>
  <c r="O21"/>
  <c r="I21"/>
  <c r="J12" i="5" l="1"/>
  <c r="J14"/>
  <c r="J13"/>
  <c r="N9"/>
  <c r="N10"/>
  <c r="B81" i="3"/>
  <c r="X88" l="1"/>
  <c r="X86"/>
  <c r="W88"/>
  <c r="W87"/>
  <c r="X87"/>
  <c r="W86"/>
  <c r="N27" i="5"/>
  <c r="X91" i="3" l="1"/>
  <c r="P12" i="5"/>
  <c r="P13"/>
  <c r="P14"/>
  <c r="W91" i="3"/>
  <c r="H99"/>
  <c r="C12" s="1"/>
  <c r="D20" i="2" s="1"/>
  <c r="C99" i="3"/>
  <c r="I8" s="1"/>
  <c r="I18" i="2" s="1"/>
  <c r="C96" i="3"/>
  <c r="H8" s="1"/>
  <c r="H96"/>
  <c r="C11" s="1"/>
  <c r="D16" i="2" s="1"/>
  <c r="E8" i="3"/>
  <c r="G8" s="1"/>
  <c r="I47"/>
  <c r="D6" i="17" s="1"/>
  <c r="I41" i="3"/>
  <c r="I39"/>
  <c r="I38"/>
  <c r="I33"/>
  <c r="I32"/>
  <c r="I31"/>
  <c r="I30"/>
  <c r="G19"/>
  <c r="W37" l="1"/>
  <c r="W29"/>
  <c r="B6" i="17"/>
  <c r="J8" i="3"/>
  <c r="E6" i="4"/>
  <c r="I14" i="2"/>
  <c r="B8" i="3"/>
  <c r="E99"/>
  <c r="I19" i="2" s="1"/>
  <c r="C100" i="3"/>
  <c r="D21" i="2" s="1"/>
  <c r="E96" i="3"/>
  <c r="I15" i="2" s="1"/>
  <c r="C97" i="3"/>
  <c r="D17" i="2" s="1"/>
  <c r="B6" i="4"/>
  <c r="C6"/>
  <c r="C8" i="3"/>
  <c r="L37"/>
  <c r="I29" i="2"/>
  <c r="L36" i="3"/>
  <c r="L35"/>
  <c r="L34"/>
  <c r="I7" i="2"/>
  <c r="I6"/>
  <c r="I5"/>
  <c r="Z33" i="3" l="1"/>
  <c r="C6" i="17" s="1"/>
  <c r="F6" i="4"/>
  <c r="E6" i="17"/>
  <c r="F10" i="13"/>
  <c r="E11" i="7"/>
  <c r="F11" i="6"/>
  <c r="E12" i="7"/>
  <c r="E10"/>
  <c r="L8" i="6"/>
  <c r="M8" s="1"/>
  <c r="J11" i="7"/>
  <c r="L11" s="1"/>
  <c r="J9"/>
  <c r="L9" s="1"/>
  <c r="F7" i="6"/>
  <c r="E9" i="7"/>
  <c r="J8"/>
  <c r="L8" s="1"/>
  <c r="L11" i="6"/>
  <c r="M11" s="1"/>
  <c r="L10"/>
  <c r="M10" s="1"/>
  <c r="F9"/>
  <c r="J10" i="7"/>
  <c r="L10" s="1"/>
  <c r="F8" i="6"/>
  <c r="L9"/>
  <c r="M9" s="1"/>
  <c r="E8" i="7"/>
  <c r="G8" s="1"/>
  <c r="J12"/>
  <c r="L12" s="1"/>
  <c r="L7" i="6"/>
  <c r="M7" s="1"/>
  <c r="F10"/>
  <c r="G7" i="13"/>
  <c r="G8"/>
  <c r="G10"/>
  <c r="F11"/>
  <c r="G9"/>
  <c r="G11"/>
  <c r="F9"/>
  <c r="F8"/>
  <c r="I30" i="2"/>
  <c r="I56" i="3"/>
  <c r="I55"/>
  <c r="D60" s="1"/>
  <c r="J6" i="4"/>
  <c r="D8" i="3"/>
  <c r="I6" i="4"/>
  <c r="D6"/>
  <c r="H6"/>
  <c r="G6"/>
  <c r="L8" i="3"/>
  <c r="M8"/>
  <c r="K8"/>
  <c r="I8" i="2"/>
  <c r="P9" i="17" l="1"/>
  <c r="P11"/>
  <c r="P131"/>
  <c r="P195"/>
  <c r="P259"/>
  <c r="N259" s="1"/>
  <c r="P323"/>
  <c r="P387"/>
  <c r="P123"/>
  <c r="P251"/>
  <c r="N251" s="1"/>
  <c r="P379"/>
  <c r="P163"/>
  <c r="P291"/>
  <c r="P12"/>
  <c r="N12" s="1"/>
  <c r="P155"/>
  <c r="P219"/>
  <c r="P283"/>
  <c r="P347"/>
  <c r="N347" s="1"/>
  <c r="P10"/>
  <c r="P187"/>
  <c r="P315"/>
  <c r="P13"/>
  <c r="N13" s="1"/>
  <c r="P227"/>
  <c r="P355"/>
  <c r="P339"/>
  <c r="P211"/>
  <c r="N211" s="1"/>
  <c r="P395"/>
  <c r="P267"/>
  <c r="P139"/>
  <c r="P83"/>
  <c r="N83" s="1"/>
  <c r="P51"/>
  <c r="P406"/>
  <c r="P374"/>
  <c r="P342"/>
  <c r="N342" s="1"/>
  <c r="P310"/>
  <c r="P278"/>
  <c r="P246"/>
  <c r="P214"/>
  <c r="N214" s="1"/>
  <c r="P182"/>
  <c r="P150"/>
  <c r="P118"/>
  <c r="P86"/>
  <c r="N86" s="1"/>
  <c r="P54"/>
  <c r="P407"/>
  <c r="P375"/>
  <c r="P343"/>
  <c r="N343" s="1"/>
  <c r="P311"/>
  <c r="P279"/>
  <c r="P247"/>
  <c r="P215"/>
  <c r="N215" s="1"/>
  <c r="P183"/>
  <c r="P151"/>
  <c r="P119"/>
  <c r="P87"/>
  <c r="N87" s="1"/>
  <c r="P55"/>
  <c r="P17"/>
  <c r="P33"/>
  <c r="P49"/>
  <c r="N49" s="1"/>
  <c r="P65"/>
  <c r="P81"/>
  <c r="P97"/>
  <c r="P113"/>
  <c r="N113" s="1"/>
  <c r="P129"/>
  <c r="P145"/>
  <c r="P161"/>
  <c r="P177"/>
  <c r="N177" s="1"/>
  <c r="P193"/>
  <c r="P209"/>
  <c r="P225"/>
  <c r="P241"/>
  <c r="N241" s="1"/>
  <c r="P257"/>
  <c r="P273"/>
  <c r="P289"/>
  <c r="P305"/>
  <c r="N305" s="1"/>
  <c r="P321"/>
  <c r="P337"/>
  <c r="P353"/>
  <c r="P369"/>
  <c r="N369" s="1"/>
  <c r="P385"/>
  <c r="P401"/>
  <c r="P312"/>
  <c r="P340"/>
  <c r="N340" s="1"/>
  <c r="P368"/>
  <c r="P400"/>
  <c r="P27"/>
  <c r="P28"/>
  <c r="N28" s="1"/>
  <c r="P44"/>
  <c r="P60"/>
  <c r="P76"/>
  <c r="P92"/>
  <c r="N92" s="1"/>
  <c r="P108"/>
  <c r="P124"/>
  <c r="P140"/>
  <c r="P156"/>
  <c r="N156" s="1"/>
  <c r="P172"/>
  <c r="P188"/>
  <c r="P204"/>
  <c r="P220"/>
  <c r="N220" s="1"/>
  <c r="P236"/>
  <c r="P252"/>
  <c r="P268"/>
  <c r="P284"/>
  <c r="N284" s="1"/>
  <c r="P304"/>
  <c r="P332"/>
  <c r="P372"/>
  <c r="P404"/>
  <c r="N404" s="1"/>
  <c r="P394"/>
  <c r="P362"/>
  <c r="P330"/>
  <c r="P298"/>
  <c r="N298" s="1"/>
  <c r="P266"/>
  <c r="P234"/>
  <c r="P202"/>
  <c r="P170"/>
  <c r="N170" s="1"/>
  <c r="P138"/>
  <c r="P106"/>
  <c r="P74"/>
  <c r="P42"/>
  <c r="N42" s="1"/>
  <c r="P38"/>
  <c r="P263"/>
  <c r="P199"/>
  <c r="P135"/>
  <c r="N135" s="1"/>
  <c r="P71"/>
  <c r="P25"/>
  <c r="P57"/>
  <c r="P89"/>
  <c r="N89" s="1"/>
  <c r="P121"/>
  <c r="P153"/>
  <c r="P185"/>
  <c r="P217"/>
  <c r="N217" s="1"/>
  <c r="P249"/>
  <c r="P281"/>
  <c r="P313"/>
  <c r="P345"/>
  <c r="N345" s="1"/>
  <c r="P377"/>
  <c r="P409"/>
  <c r="P356"/>
  <c r="P15"/>
  <c r="N15" s="1"/>
  <c r="P36"/>
  <c r="P68"/>
  <c r="P100"/>
  <c r="P132"/>
  <c r="N132" s="1"/>
  <c r="P164"/>
  <c r="P196"/>
  <c r="P228"/>
  <c r="P260"/>
  <c r="N260" s="1"/>
  <c r="P292"/>
  <c r="P352"/>
  <c r="P31"/>
  <c r="P346"/>
  <c r="N346" s="1"/>
  <c r="P282"/>
  <c r="P218"/>
  <c r="P154"/>
  <c r="P90"/>
  <c r="N90" s="1"/>
  <c r="P18"/>
  <c r="P14"/>
  <c r="P179"/>
  <c r="P107"/>
  <c r="N107" s="1"/>
  <c r="P43"/>
  <c r="P398"/>
  <c r="P334"/>
  <c r="P270"/>
  <c r="N270" s="1"/>
  <c r="P206"/>
  <c r="P142"/>
  <c r="P78"/>
  <c r="P399"/>
  <c r="N399" s="1"/>
  <c r="P335"/>
  <c r="P271"/>
  <c r="P207"/>
  <c r="P143"/>
  <c r="N143" s="1"/>
  <c r="P79"/>
  <c r="P21"/>
  <c r="P53"/>
  <c r="P85"/>
  <c r="N85" s="1"/>
  <c r="P117"/>
  <c r="P149"/>
  <c r="P181"/>
  <c r="P213"/>
  <c r="N213" s="1"/>
  <c r="P245"/>
  <c r="P277"/>
  <c r="P309"/>
  <c r="P341"/>
  <c r="N341" s="1"/>
  <c r="P373"/>
  <c r="P405"/>
  <c r="P348"/>
  <c r="P408"/>
  <c r="N408" s="1"/>
  <c r="P32"/>
  <c r="P48"/>
  <c r="P80"/>
  <c r="P112"/>
  <c r="N112" s="1"/>
  <c r="P144"/>
  <c r="P176"/>
  <c r="P208"/>
  <c r="P240"/>
  <c r="N240" s="1"/>
  <c r="P272"/>
  <c r="P308"/>
  <c r="P380"/>
  <c r="P386"/>
  <c r="N386" s="1"/>
  <c r="P354"/>
  <c r="P290"/>
  <c r="P226"/>
  <c r="P162"/>
  <c r="N162" s="1"/>
  <c r="P98"/>
  <c r="P34"/>
  <c r="P371"/>
  <c r="P243"/>
  <c r="N243" s="1"/>
  <c r="P115"/>
  <c r="P299"/>
  <c r="P171"/>
  <c r="P91"/>
  <c r="N91" s="1"/>
  <c r="P59"/>
  <c r="P22"/>
  <c r="P382"/>
  <c r="P350"/>
  <c r="N350" s="1"/>
  <c r="P318"/>
  <c r="P286"/>
  <c r="P254"/>
  <c r="P222"/>
  <c r="N222" s="1"/>
  <c r="P190"/>
  <c r="P158"/>
  <c r="P126"/>
  <c r="P94"/>
  <c r="N94" s="1"/>
  <c r="P62"/>
  <c r="P26"/>
  <c r="P383"/>
  <c r="P351"/>
  <c r="N351" s="1"/>
  <c r="P319"/>
  <c r="P287"/>
  <c r="P255"/>
  <c r="P223"/>
  <c r="N223" s="1"/>
  <c r="P191"/>
  <c r="P159"/>
  <c r="P127"/>
  <c r="P95"/>
  <c r="N95" s="1"/>
  <c r="P63"/>
  <c r="P30"/>
  <c r="P29"/>
  <c r="P45"/>
  <c r="N45" s="1"/>
  <c r="P61"/>
  <c r="P77"/>
  <c r="P93"/>
  <c r="P109"/>
  <c r="N109" s="1"/>
  <c r="P125"/>
  <c r="P141"/>
  <c r="P157"/>
  <c r="P173"/>
  <c r="N173" s="1"/>
  <c r="P189"/>
  <c r="P205"/>
  <c r="P221"/>
  <c r="P237"/>
  <c r="N237" s="1"/>
  <c r="P253"/>
  <c r="P269"/>
  <c r="P285"/>
  <c r="P301"/>
  <c r="N301" s="1"/>
  <c r="P317"/>
  <c r="P333"/>
  <c r="P349"/>
  <c r="P365"/>
  <c r="N365" s="1"/>
  <c r="P381"/>
  <c r="P397"/>
  <c r="P296"/>
  <c r="P336"/>
  <c r="N336" s="1"/>
  <c r="P364"/>
  <c r="P392"/>
  <c r="P19"/>
  <c r="P24"/>
  <c r="N24" s="1"/>
  <c r="P40"/>
  <c r="P56"/>
  <c r="P72"/>
  <c r="P88"/>
  <c r="N88" s="1"/>
  <c r="P104"/>
  <c r="P120"/>
  <c r="P136"/>
  <c r="P152"/>
  <c r="N152" s="1"/>
  <c r="P168"/>
  <c r="P184"/>
  <c r="P200"/>
  <c r="P216"/>
  <c r="N216" s="1"/>
  <c r="P232"/>
  <c r="P248"/>
  <c r="P264"/>
  <c r="P280"/>
  <c r="N280" s="1"/>
  <c r="P300"/>
  <c r="P324"/>
  <c r="P360"/>
  <c r="P396"/>
  <c r="N396" s="1"/>
  <c r="P402"/>
  <c r="P370"/>
  <c r="P338"/>
  <c r="P306"/>
  <c r="N306" s="1"/>
  <c r="P274"/>
  <c r="P242"/>
  <c r="P210"/>
  <c r="P178"/>
  <c r="N178" s="1"/>
  <c r="P146"/>
  <c r="P114"/>
  <c r="P82"/>
  <c r="P50"/>
  <c r="N50" s="1"/>
  <c r="P403"/>
  <c r="P275"/>
  <c r="P147"/>
  <c r="P331"/>
  <c r="N331" s="1"/>
  <c r="P203"/>
  <c r="P99"/>
  <c r="P67"/>
  <c r="P35"/>
  <c r="N35" s="1"/>
  <c r="P390"/>
  <c r="P358"/>
  <c r="P326"/>
  <c r="P294"/>
  <c r="N294" s="1"/>
  <c r="P262"/>
  <c r="P230"/>
  <c r="P198"/>
  <c r="P166"/>
  <c r="N166" s="1"/>
  <c r="P134"/>
  <c r="P102"/>
  <c r="P70"/>
  <c r="P391"/>
  <c r="N391" s="1"/>
  <c r="P359"/>
  <c r="P327"/>
  <c r="P295"/>
  <c r="P231"/>
  <c r="N231" s="1"/>
  <c r="P167"/>
  <c r="P103"/>
  <c r="P39"/>
  <c r="P41"/>
  <c r="N41" s="1"/>
  <c r="P73"/>
  <c r="P105"/>
  <c r="P137"/>
  <c r="P169"/>
  <c r="N169" s="1"/>
  <c r="P201"/>
  <c r="P233"/>
  <c r="P265"/>
  <c r="P297"/>
  <c r="N297" s="1"/>
  <c r="P329"/>
  <c r="P361"/>
  <c r="P393"/>
  <c r="P328"/>
  <c r="N328" s="1"/>
  <c r="P384"/>
  <c r="P20"/>
  <c r="P52"/>
  <c r="P84"/>
  <c r="N84" s="1"/>
  <c r="P116"/>
  <c r="P148"/>
  <c r="P180"/>
  <c r="P212"/>
  <c r="N212" s="1"/>
  <c r="P244"/>
  <c r="P276"/>
  <c r="P316"/>
  <c r="P388"/>
  <c r="N388" s="1"/>
  <c r="P378"/>
  <c r="P314"/>
  <c r="P250"/>
  <c r="P186"/>
  <c r="N186" s="1"/>
  <c r="P122"/>
  <c r="P58"/>
  <c r="P307"/>
  <c r="P363"/>
  <c r="N363" s="1"/>
  <c r="P235"/>
  <c r="P75"/>
  <c r="P366"/>
  <c r="P302"/>
  <c r="N302" s="1"/>
  <c r="P238"/>
  <c r="P174"/>
  <c r="P110"/>
  <c r="P46"/>
  <c r="N46" s="1"/>
  <c r="P367"/>
  <c r="P303"/>
  <c r="P239"/>
  <c r="P175"/>
  <c r="N175" s="1"/>
  <c r="P111"/>
  <c r="P47"/>
  <c r="P37"/>
  <c r="P69"/>
  <c r="N69" s="1"/>
  <c r="P101"/>
  <c r="P133"/>
  <c r="P165"/>
  <c r="P197"/>
  <c r="N197" s="1"/>
  <c r="P229"/>
  <c r="P261"/>
  <c r="P293"/>
  <c r="P325"/>
  <c r="N325" s="1"/>
  <c r="P357"/>
  <c r="P389"/>
  <c r="P320"/>
  <c r="P376"/>
  <c r="N376" s="1"/>
  <c r="P16"/>
  <c r="P64"/>
  <c r="P96"/>
  <c r="P128"/>
  <c r="N128" s="1"/>
  <c r="P160"/>
  <c r="P192"/>
  <c r="P224"/>
  <c r="P256"/>
  <c r="N256" s="1"/>
  <c r="P288"/>
  <c r="P344"/>
  <c r="P23"/>
  <c r="P322"/>
  <c r="N322" s="1"/>
  <c r="P258"/>
  <c r="P194"/>
  <c r="P130"/>
  <c r="P66"/>
  <c r="N66" s="1"/>
  <c r="J6"/>
  <c r="J10" i="13"/>
  <c r="J9"/>
  <c r="M9"/>
  <c r="J8"/>
  <c r="M8"/>
  <c r="M11"/>
  <c r="M10"/>
  <c r="J11"/>
  <c r="D61" i="3"/>
  <c r="I13" i="2" s="1"/>
  <c r="I31"/>
  <c r="P9" i="4"/>
  <c r="N9" s="1"/>
  <c r="I32" i="2"/>
  <c r="G10" i="7"/>
  <c r="G16"/>
  <c r="G17"/>
  <c r="G9"/>
  <c r="G14"/>
  <c r="G11"/>
  <c r="G12"/>
  <c r="G13"/>
  <c r="G15"/>
  <c r="G7" i="6"/>
  <c r="O7"/>
  <c r="Q7" s="1"/>
  <c r="O9"/>
  <c r="Q9" s="1"/>
  <c r="G9"/>
  <c r="O13"/>
  <c r="G13"/>
  <c r="G12"/>
  <c r="O12"/>
  <c r="G11"/>
  <c r="O11"/>
  <c r="Q11" s="1"/>
  <c r="O15"/>
  <c r="G15"/>
  <c r="G10"/>
  <c r="O10"/>
  <c r="Q10" s="1"/>
  <c r="G14"/>
  <c r="O14"/>
  <c r="O8"/>
  <c r="Q8" s="1"/>
  <c r="G8"/>
  <c r="O16"/>
  <c r="G16"/>
  <c r="I12" i="2"/>
  <c r="N344" i="17" l="1"/>
  <c r="N192"/>
  <c r="N389"/>
  <c r="N261"/>
  <c r="N133"/>
  <c r="N47"/>
  <c r="N303"/>
  <c r="N174"/>
  <c r="N75"/>
  <c r="N58"/>
  <c r="N314"/>
  <c r="N276"/>
  <c r="N148"/>
  <c r="N20"/>
  <c r="N361"/>
  <c r="N233"/>
  <c r="N105"/>
  <c r="N103"/>
  <c r="N327"/>
  <c r="N102"/>
  <c r="N230"/>
  <c r="N358"/>
  <c r="N99"/>
  <c r="N275"/>
  <c r="N114"/>
  <c r="N242"/>
  <c r="N370"/>
  <c r="N324"/>
  <c r="N248"/>
  <c r="N184"/>
  <c r="N120"/>
  <c r="N56"/>
  <c r="N392"/>
  <c r="N397"/>
  <c r="N333"/>
  <c r="N269"/>
  <c r="N205"/>
  <c r="N141"/>
  <c r="N77"/>
  <c r="N30"/>
  <c r="N159"/>
  <c r="N287"/>
  <c r="N26"/>
  <c r="N158"/>
  <c r="N286"/>
  <c r="N22"/>
  <c r="N299"/>
  <c r="N34"/>
  <c r="N290"/>
  <c r="N308"/>
  <c r="N176"/>
  <c r="N48"/>
  <c r="N405"/>
  <c r="N277"/>
  <c r="N149"/>
  <c r="N21"/>
  <c r="N271"/>
  <c r="N142"/>
  <c r="N398"/>
  <c r="N14"/>
  <c r="N218"/>
  <c r="N352"/>
  <c r="N196"/>
  <c r="N68"/>
  <c r="N409"/>
  <c r="N281"/>
  <c r="N153"/>
  <c r="N25"/>
  <c r="N263"/>
  <c r="N106"/>
  <c r="N234"/>
  <c r="N362"/>
  <c r="N332"/>
  <c r="N252"/>
  <c r="N188"/>
  <c r="N124"/>
  <c r="N60"/>
  <c r="N400"/>
  <c r="N401"/>
  <c r="N337"/>
  <c r="N273"/>
  <c r="N209"/>
  <c r="N145"/>
  <c r="N81"/>
  <c r="N17"/>
  <c r="N151"/>
  <c r="N279"/>
  <c r="N407"/>
  <c r="N150"/>
  <c r="N278"/>
  <c r="N406"/>
  <c r="N267"/>
  <c r="N355"/>
  <c r="N187"/>
  <c r="N219"/>
  <c r="N131"/>
  <c r="N194"/>
  <c r="N64"/>
  <c r="N9"/>
  <c r="N258"/>
  <c r="N288"/>
  <c r="N160"/>
  <c r="N16"/>
  <c r="N357"/>
  <c r="N229"/>
  <c r="N101"/>
  <c r="N111"/>
  <c r="N367"/>
  <c r="N238"/>
  <c r="N235"/>
  <c r="N122"/>
  <c r="N378"/>
  <c r="N244"/>
  <c r="N116"/>
  <c r="N384"/>
  <c r="N329"/>
  <c r="N201"/>
  <c r="N73"/>
  <c r="N167"/>
  <c r="N359"/>
  <c r="N134"/>
  <c r="N262"/>
  <c r="N390"/>
  <c r="N203"/>
  <c r="N403"/>
  <c r="N146"/>
  <c r="N274"/>
  <c r="N402"/>
  <c r="N300"/>
  <c r="N232"/>
  <c r="N168"/>
  <c r="N104"/>
  <c r="N40"/>
  <c r="N364"/>
  <c r="N381"/>
  <c r="N317"/>
  <c r="N253"/>
  <c r="N189"/>
  <c r="N125"/>
  <c r="N61"/>
  <c r="N63"/>
  <c r="N191"/>
  <c r="N319"/>
  <c r="N62"/>
  <c r="N190"/>
  <c r="N318"/>
  <c r="N59"/>
  <c r="N115"/>
  <c r="N98"/>
  <c r="N354"/>
  <c r="N272"/>
  <c r="N144"/>
  <c r="N32"/>
  <c r="N373"/>
  <c r="N245"/>
  <c r="N117"/>
  <c r="N79"/>
  <c r="N335"/>
  <c r="N206"/>
  <c r="N43"/>
  <c r="N18"/>
  <c r="N282"/>
  <c r="N292"/>
  <c r="N164"/>
  <c r="N36"/>
  <c r="N377"/>
  <c r="N249"/>
  <c r="N121"/>
  <c r="N71"/>
  <c r="N38"/>
  <c r="N138"/>
  <c r="N266"/>
  <c r="N394"/>
  <c r="N304"/>
  <c r="N236"/>
  <c r="N172"/>
  <c r="N108"/>
  <c r="N44"/>
  <c r="N368"/>
  <c r="N385"/>
  <c r="N321"/>
  <c r="N257"/>
  <c r="N193"/>
  <c r="N129"/>
  <c r="N65"/>
  <c r="N55"/>
  <c r="N183"/>
  <c r="N311"/>
  <c r="N54"/>
  <c r="N182"/>
  <c r="N310"/>
  <c r="N51"/>
  <c r="N395"/>
  <c r="N227"/>
  <c r="N10"/>
  <c r="N155"/>
  <c r="N379"/>
  <c r="N323"/>
  <c r="N11"/>
  <c r="N163"/>
  <c r="N387"/>
  <c r="N130"/>
  <c r="N23"/>
  <c r="N224"/>
  <c r="N96"/>
  <c r="N320"/>
  <c r="N293"/>
  <c r="N165"/>
  <c r="N37"/>
  <c r="N239"/>
  <c r="N110"/>
  <c r="N366"/>
  <c r="N307"/>
  <c r="N250"/>
  <c r="N316"/>
  <c r="N180"/>
  <c r="N52"/>
  <c r="N393"/>
  <c r="N265"/>
  <c r="N137"/>
  <c r="N39"/>
  <c r="N295"/>
  <c r="N70"/>
  <c r="N198"/>
  <c r="N326"/>
  <c r="N67"/>
  <c r="N147"/>
  <c r="N82"/>
  <c r="N210"/>
  <c r="N338"/>
  <c r="N360"/>
  <c r="N264"/>
  <c r="N200"/>
  <c r="N136"/>
  <c r="N72"/>
  <c r="N19"/>
  <c r="N296"/>
  <c r="N349"/>
  <c r="N285"/>
  <c r="N221"/>
  <c r="N157"/>
  <c r="N93"/>
  <c r="N29"/>
  <c r="N127"/>
  <c r="N255"/>
  <c r="N383"/>
  <c r="N126"/>
  <c r="N254"/>
  <c r="N382"/>
  <c r="N171"/>
  <c r="N371"/>
  <c r="N226"/>
  <c r="N380"/>
  <c r="N208"/>
  <c r="N80"/>
  <c r="N348"/>
  <c r="N309"/>
  <c r="N181"/>
  <c r="N53"/>
  <c r="N207"/>
  <c r="N78"/>
  <c r="N334"/>
  <c r="N179"/>
  <c r="N154"/>
  <c r="N31"/>
  <c r="N228"/>
  <c r="N100"/>
  <c r="N356"/>
  <c r="N313"/>
  <c r="N185"/>
  <c r="N57"/>
  <c r="N199"/>
  <c r="N74"/>
  <c r="N202"/>
  <c r="N330"/>
  <c r="N372"/>
  <c r="N268"/>
  <c r="N204"/>
  <c r="N140"/>
  <c r="N76"/>
  <c r="N27"/>
  <c r="N312"/>
  <c r="N353"/>
  <c r="N289"/>
  <c r="N225"/>
  <c r="N161"/>
  <c r="N97"/>
  <c r="N33"/>
  <c r="N119"/>
  <c r="N247"/>
  <c r="N375"/>
  <c r="N118"/>
  <c r="N246"/>
  <c r="N374"/>
  <c r="N139"/>
  <c r="N339"/>
  <c r="N315"/>
  <c r="N283"/>
  <c r="N291"/>
  <c r="N123"/>
  <c r="N195"/>
  <c r="I14" i="6"/>
  <c r="P14"/>
  <c r="I12"/>
  <c r="P12"/>
  <c r="I16"/>
  <c r="P16"/>
  <c r="I15"/>
  <c r="P15"/>
  <c r="I9"/>
  <c r="P9"/>
  <c r="I10"/>
  <c r="P10"/>
  <c r="I11"/>
  <c r="P11"/>
  <c r="I7"/>
  <c r="K7" s="1"/>
  <c r="P7"/>
  <c r="I8"/>
  <c r="P8"/>
  <c r="I13"/>
  <c r="P13"/>
  <c r="P357" i="4"/>
  <c r="N357" s="1"/>
  <c r="I8" i="7"/>
  <c r="P8"/>
  <c r="R8" s="1"/>
  <c r="I12"/>
  <c r="P12"/>
  <c r="R12" s="1"/>
  <c r="N14"/>
  <c r="S14"/>
  <c r="U14" s="1"/>
  <c r="P17"/>
  <c r="R17" s="1"/>
  <c r="I17"/>
  <c r="N10"/>
  <c r="S10"/>
  <c r="U10" s="1"/>
  <c r="N8"/>
  <c r="S8"/>
  <c r="U8" s="1"/>
  <c r="N12"/>
  <c r="S12"/>
  <c r="U12" s="1"/>
  <c r="I14"/>
  <c r="P14"/>
  <c r="R14" s="1"/>
  <c r="N17"/>
  <c r="S17"/>
  <c r="U17" s="1"/>
  <c r="I10"/>
  <c r="P10"/>
  <c r="R10" s="1"/>
  <c r="N15"/>
  <c r="S15"/>
  <c r="U15" s="1"/>
  <c r="P13"/>
  <c r="R13" s="1"/>
  <c r="I13"/>
  <c r="I11"/>
  <c r="P11"/>
  <c r="R11" s="1"/>
  <c r="P9"/>
  <c r="R9" s="1"/>
  <c r="I9"/>
  <c r="N16"/>
  <c r="S16"/>
  <c r="U16" s="1"/>
  <c r="I15"/>
  <c r="P15"/>
  <c r="R15" s="1"/>
  <c r="N13"/>
  <c r="S13"/>
  <c r="U13" s="1"/>
  <c r="N11"/>
  <c r="S11"/>
  <c r="U11" s="1"/>
  <c r="N9"/>
  <c r="S9"/>
  <c r="U9" s="1"/>
  <c r="I16"/>
  <c r="P16"/>
  <c r="R16" s="1"/>
  <c r="J11" i="6" l="1"/>
  <c r="K11"/>
  <c r="J10"/>
  <c r="K10"/>
  <c r="J9"/>
  <c r="K9"/>
  <c r="J8"/>
  <c r="K8"/>
  <c r="J7"/>
  <c r="P387" i="4"/>
  <c r="N387" s="1"/>
  <c r="P140"/>
  <c r="N140" s="1"/>
  <c r="P177"/>
  <c r="N177" s="1"/>
  <c r="P24"/>
  <c r="N24" s="1"/>
  <c r="P61"/>
  <c r="N61" s="1"/>
  <c r="P176"/>
  <c r="N176" s="1"/>
  <c r="P229"/>
  <c r="N229" s="1"/>
  <c r="P41"/>
  <c r="N41" s="1"/>
  <c r="P135"/>
  <c r="N135" s="1"/>
  <c r="P251"/>
  <c r="N251" s="1"/>
  <c r="P124"/>
  <c r="N124" s="1"/>
  <c r="P20"/>
  <c r="N20" s="1"/>
  <c r="P268"/>
  <c r="N268" s="1"/>
  <c r="P184"/>
  <c r="N184" s="1"/>
  <c r="P107"/>
  <c r="N107" s="1"/>
  <c r="P29"/>
  <c r="N29" s="1"/>
  <c r="P115"/>
  <c r="N115" s="1"/>
  <c r="P193"/>
  <c r="N193" s="1"/>
  <c r="P260"/>
  <c r="N260" s="1"/>
  <c r="P399"/>
  <c r="N399" s="1"/>
  <c r="P289"/>
  <c r="N289" s="1"/>
  <c r="P224"/>
  <c r="N224" s="1"/>
  <c r="P279"/>
  <c r="N279" s="1"/>
  <c r="P101"/>
  <c r="N101" s="1"/>
  <c r="P355"/>
  <c r="N355" s="1"/>
  <c r="P143"/>
  <c r="N143" s="1"/>
  <c r="P12"/>
  <c r="N12" s="1"/>
  <c r="P165"/>
  <c r="N165" s="1"/>
  <c r="P348"/>
  <c r="N348" s="1"/>
  <c r="P131"/>
  <c r="N131" s="1"/>
  <c r="P174"/>
  <c r="N174" s="1"/>
  <c r="P409"/>
  <c r="N409" s="1"/>
  <c r="P88"/>
  <c r="N88" s="1"/>
  <c r="P222"/>
  <c r="N222" s="1"/>
  <c r="P180"/>
  <c r="N180" s="1"/>
  <c r="P104"/>
  <c r="N104" s="1"/>
  <c r="P78"/>
  <c r="N78" s="1"/>
  <c r="P66"/>
  <c r="N66" s="1"/>
  <c r="P365"/>
  <c r="N365" s="1"/>
  <c r="P109"/>
  <c r="N109" s="1"/>
  <c r="P331"/>
  <c r="N331" s="1"/>
  <c r="P336"/>
  <c r="N336" s="1"/>
  <c r="P359"/>
  <c r="N359" s="1"/>
  <c r="P286"/>
  <c r="N286" s="1"/>
  <c r="P156"/>
  <c r="N156" s="1"/>
  <c r="P389"/>
  <c r="N389" s="1"/>
  <c r="P97"/>
  <c r="N97" s="1"/>
  <c r="P319"/>
  <c r="N319" s="1"/>
  <c r="P360"/>
  <c r="N360" s="1"/>
  <c r="P362"/>
  <c r="N362" s="1"/>
  <c r="P408"/>
  <c r="N408" s="1"/>
  <c r="P117"/>
  <c r="N117" s="1"/>
  <c r="P226"/>
  <c r="N226" s="1"/>
  <c r="P111"/>
  <c r="N111" s="1"/>
  <c r="P154"/>
  <c r="N154" s="1"/>
  <c r="P182"/>
  <c r="N182" s="1"/>
  <c r="P120"/>
  <c r="N120" s="1"/>
  <c r="P18"/>
  <c r="N18" s="1"/>
  <c r="P48"/>
  <c r="N48" s="1"/>
  <c r="P398"/>
  <c r="N398" s="1"/>
  <c r="P16"/>
  <c r="N16" s="1"/>
  <c r="P10"/>
  <c r="N10" s="1"/>
  <c r="P322"/>
  <c r="N322" s="1"/>
  <c r="P186"/>
  <c r="N186" s="1"/>
  <c r="P214"/>
  <c r="N214" s="1"/>
  <c r="P385"/>
  <c r="N385" s="1"/>
  <c r="P60"/>
  <c r="P84"/>
  <c r="N84" s="1"/>
  <c r="P23"/>
  <c r="N23" s="1"/>
  <c r="P81"/>
  <c r="N81" s="1"/>
  <c r="P313"/>
  <c r="N313" s="1"/>
  <c r="P57"/>
  <c r="N57" s="1"/>
  <c r="P311"/>
  <c r="N311" s="1"/>
  <c r="P219"/>
  <c r="N219" s="1"/>
  <c r="P189"/>
  <c r="N189" s="1"/>
  <c r="P211"/>
  <c r="N211" s="1"/>
  <c r="P276"/>
  <c r="N276" s="1"/>
  <c r="P254"/>
  <c r="N254" s="1"/>
  <c r="P75"/>
  <c r="N75" s="1"/>
  <c r="P249"/>
  <c r="N249" s="1"/>
  <c r="P103"/>
  <c r="N103" s="1"/>
  <c r="P175"/>
  <c r="N175" s="1"/>
  <c r="P218"/>
  <c r="N218" s="1"/>
  <c r="P262"/>
  <c r="N262" s="1"/>
  <c r="P242"/>
  <c r="N242" s="1"/>
  <c r="P63"/>
  <c r="N63" s="1"/>
  <c r="P273"/>
  <c r="N273" s="1"/>
  <c r="P106"/>
  <c r="N106" s="1"/>
  <c r="P406"/>
  <c r="N406" s="1"/>
  <c r="P134"/>
  <c r="N134" s="1"/>
  <c r="P371"/>
  <c r="N371" s="1"/>
  <c r="P256"/>
  <c r="N256" s="1"/>
  <c r="P43"/>
  <c r="N43" s="1"/>
  <c r="P71"/>
  <c r="N71" s="1"/>
  <c r="P14"/>
  <c r="N14" s="1"/>
  <c r="P225"/>
  <c r="N225" s="1"/>
  <c r="P283"/>
  <c r="N283" s="1"/>
  <c r="P288"/>
  <c r="N288" s="1"/>
  <c r="P247"/>
  <c r="N247" s="1"/>
  <c r="P266"/>
  <c r="N266" s="1"/>
  <c r="P403"/>
  <c r="N403" s="1"/>
  <c r="P113"/>
  <c r="N113" s="1"/>
  <c r="P168"/>
  <c r="N168" s="1"/>
  <c r="P335"/>
  <c r="N335" s="1"/>
  <c r="P45"/>
  <c r="N45" s="1"/>
  <c r="P328"/>
  <c r="N328" s="1"/>
  <c r="P267"/>
  <c r="N267" s="1"/>
  <c r="P378"/>
  <c r="N378" s="1"/>
  <c r="P112"/>
  <c r="N112" s="1"/>
  <c r="P376"/>
  <c r="N376" s="1"/>
  <c r="P295"/>
  <c r="N295" s="1"/>
  <c r="P149"/>
  <c r="N149" s="1"/>
  <c r="P158"/>
  <c r="N158" s="1"/>
  <c r="P148"/>
  <c r="N148" s="1"/>
  <c r="P201"/>
  <c r="N201" s="1"/>
  <c r="P36"/>
  <c r="N36" s="1"/>
  <c r="P216"/>
  <c r="N216" s="1"/>
  <c r="P323"/>
  <c r="N323" s="1"/>
  <c r="P33"/>
  <c r="N33" s="1"/>
  <c r="P352"/>
  <c r="N352" s="1"/>
  <c r="P255"/>
  <c r="N255" s="1"/>
  <c r="P366"/>
  <c r="N366" s="1"/>
  <c r="P160"/>
  <c r="N160" s="1"/>
  <c r="P187"/>
  <c r="N187" s="1"/>
  <c r="P298"/>
  <c r="N298" s="1"/>
  <c r="P324"/>
  <c r="N324" s="1"/>
  <c r="P364"/>
  <c r="N364" s="1"/>
  <c r="P215"/>
  <c r="N215" s="1"/>
  <c r="P64"/>
  <c r="N64" s="1"/>
  <c r="P307"/>
  <c r="N307" s="1"/>
  <c r="P17"/>
  <c r="N17" s="1"/>
  <c r="P47"/>
  <c r="N47" s="1"/>
  <c r="P205"/>
  <c r="N205" s="1"/>
  <c r="P26"/>
  <c r="N26" s="1"/>
  <c r="P72"/>
  <c r="N72" s="1"/>
  <c r="P54"/>
  <c r="N54" s="1"/>
  <c r="P159"/>
  <c r="N159" s="1"/>
  <c r="P202"/>
  <c r="N202" s="1"/>
  <c r="P230"/>
  <c r="N230" s="1"/>
  <c r="P372"/>
  <c r="N372" s="1"/>
  <c r="P27"/>
  <c r="N27" s="1"/>
  <c r="P55"/>
  <c r="N55" s="1"/>
  <c r="P188"/>
  <c r="N188" s="1"/>
  <c r="P212"/>
  <c r="N212" s="1"/>
  <c r="P100"/>
  <c r="N100" s="1"/>
  <c r="P329"/>
  <c r="N329" s="1"/>
  <c r="P196"/>
  <c r="N196" s="1"/>
  <c r="P155"/>
  <c r="N155" s="1"/>
  <c r="P19"/>
  <c r="N19" s="1"/>
  <c r="P275"/>
  <c r="N275" s="1"/>
  <c r="P130"/>
  <c r="N130" s="1"/>
  <c r="P386"/>
  <c r="N386" s="1"/>
  <c r="P361"/>
  <c r="N361" s="1"/>
  <c r="P80"/>
  <c r="N80" s="1"/>
  <c r="P237"/>
  <c r="N237" s="1"/>
  <c r="P207"/>
  <c r="N207" s="1"/>
  <c r="P62"/>
  <c r="N62" s="1"/>
  <c r="P318"/>
  <c r="N318" s="1"/>
  <c r="P173"/>
  <c r="N173" s="1"/>
  <c r="P284"/>
  <c r="N284" s="1"/>
  <c r="P373"/>
  <c r="N373" s="1"/>
  <c r="P139"/>
  <c r="N139" s="1"/>
  <c r="P395"/>
  <c r="N395" s="1"/>
  <c r="P250"/>
  <c r="N250" s="1"/>
  <c r="P105"/>
  <c r="N105" s="1"/>
  <c r="P28"/>
  <c r="N28" s="1"/>
  <c r="P200"/>
  <c r="N200" s="1"/>
  <c r="P257"/>
  <c r="N257" s="1"/>
  <c r="P317"/>
  <c r="N317" s="1"/>
  <c r="P167"/>
  <c r="N167" s="1"/>
  <c r="P22"/>
  <c r="N22" s="1"/>
  <c r="P294"/>
  <c r="N294" s="1"/>
  <c r="P332"/>
  <c r="N332" s="1"/>
  <c r="P303"/>
  <c r="N303" s="1"/>
  <c r="P13"/>
  <c r="N13" s="1"/>
  <c r="P392"/>
  <c r="N392" s="1"/>
  <c r="P235"/>
  <c r="N235" s="1"/>
  <c r="P346"/>
  <c r="N346" s="1"/>
  <c r="P228"/>
  <c r="N228" s="1"/>
  <c r="P128"/>
  <c r="N128" s="1"/>
  <c r="P263"/>
  <c r="N263" s="1"/>
  <c r="P85"/>
  <c r="N85" s="1"/>
  <c r="P261"/>
  <c r="N261" s="1"/>
  <c r="P195"/>
  <c r="N195" s="1"/>
  <c r="P50"/>
  <c r="N50" s="1"/>
  <c r="P306"/>
  <c r="N306" s="1"/>
  <c r="P161"/>
  <c r="N161" s="1"/>
  <c r="P308"/>
  <c r="N308" s="1"/>
  <c r="P397"/>
  <c r="N397" s="1"/>
  <c r="P127"/>
  <c r="N127" s="1"/>
  <c r="P383"/>
  <c r="N383" s="1"/>
  <c r="P238"/>
  <c r="N238" s="1"/>
  <c r="P93"/>
  <c r="N93" s="1"/>
  <c r="P76"/>
  <c r="N76" s="1"/>
  <c r="P232"/>
  <c r="N232" s="1"/>
  <c r="P59"/>
  <c r="P315"/>
  <c r="N315" s="1"/>
  <c r="P170"/>
  <c r="N170" s="1"/>
  <c r="P25"/>
  <c r="N25" s="1"/>
  <c r="P281"/>
  <c r="N281" s="1"/>
  <c r="P368"/>
  <c r="N368" s="1"/>
  <c r="P133"/>
  <c r="N133" s="1"/>
  <c r="P152"/>
  <c r="N152" s="1"/>
  <c r="P87"/>
  <c r="N87" s="1"/>
  <c r="P343"/>
  <c r="N343" s="1"/>
  <c r="P198"/>
  <c r="N198" s="1"/>
  <c r="P353"/>
  <c r="N353" s="1"/>
  <c r="P293"/>
  <c r="N293" s="1"/>
  <c r="P179"/>
  <c r="N179" s="1"/>
  <c r="P34"/>
  <c r="N34" s="1"/>
  <c r="P290"/>
  <c r="N290" s="1"/>
  <c r="P145"/>
  <c r="N145" s="1"/>
  <c r="P340"/>
  <c r="N340" s="1"/>
  <c r="P301"/>
  <c r="N301" s="1"/>
  <c r="P239"/>
  <c r="N239" s="1"/>
  <c r="P350"/>
  <c r="N350" s="1"/>
  <c r="P220"/>
  <c r="N220" s="1"/>
  <c r="P171"/>
  <c r="N171" s="1"/>
  <c r="P282"/>
  <c r="N282" s="1"/>
  <c r="P356"/>
  <c r="N356" s="1"/>
  <c r="P44"/>
  <c r="N44" s="1"/>
  <c r="P199"/>
  <c r="N199" s="1"/>
  <c r="P358"/>
  <c r="N358" s="1"/>
  <c r="P227"/>
  <c r="N227" s="1"/>
  <c r="P244"/>
  <c r="N244" s="1"/>
  <c r="P270"/>
  <c r="N270" s="1"/>
  <c r="P91"/>
  <c r="N91" s="1"/>
  <c r="P217"/>
  <c r="N217" s="1"/>
  <c r="P119"/>
  <c r="N119" s="1"/>
  <c r="P280"/>
  <c r="N280" s="1"/>
  <c r="P274"/>
  <c r="N274" s="1"/>
  <c r="P95"/>
  <c r="N95" s="1"/>
  <c r="P204"/>
  <c r="N204" s="1"/>
  <c r="P138"/>
  <c r="N138" s="1"/>
  <c r="P69"/>
  <c r="N69" s="1"/>
  <c r="P166"/>
  <c r="N166" s="1"/>
  <c r="P210"/>
  <c r="N210" s="1"/>
  <c r="P31"/>
  <c r="N31" s="1"/>
  <c r="P337"/>
  <c r="N337" s="1"/>
  <c r="P74"/>
  <c r="N74" s="1"/>
  <c r="P342"/>
  <c r="N342" s="1"/>
  <c r="P102"/>
  <c r="N102" s="1"/>
  <c r="P334"/>
  <c r="N334" s="1"/>
  <c r="P341"/>
  <c r="N341" s="1"/>
  <c r="P402"/>
  <c r="N402" s="1"/>
  <c r="P172"/>
  <c r="N172" s="1"/>
  <c r="P38"/>
  <c r="N38" s="1"/>
  <c r="P183"/>
  <c r="N183" s="1"/>
  <c r="P147"/>
  <c r="N147" s="1"/>
  <c r="P258"/>
  <c r="N258" s="1"/>
  <c r="P404"/>
  <c r="N404" s="1"/>
  <c r="P79"/>
  <c r="N79" s="1"/>
  <c r="P190"/>
  <c r="N190" s="1"/>
  <c r="P241"/>
  <c r="N241" s="1"/>
  <c r="P11"/>
  <c r="N11" s="1"/>
  <c r="P122"/>
  <c r="N122" s="1"/>
  <c r="P377"/>
  <c r="N377" s="1"/>
  <c r="P37"/>
  <c r="N37" s="1"/>
  <c r="P39"/>
  <c r="N39" s="1"/>
  <c r="P150"/>
  <c r="N150" s="1"/>
  <c r="P40"/>
  <c r="N40" s="1"/>
  <c r="P305"/>
  <c r="N305" s="1"/>
  <c r="P90"/>
  <c r="N90" s="1"/>
  <c r="P374"/>
  <c r="N374" s="1"/>
  <c r="P118"/>
  <c r="N118" s="1"/>
  <c r="P67"/>
  <c r="N67" s="1"/>
  <c r="P178"/>
  <c r="N178" s="1"/>
  <c r="P265"/>
  <c r="N265" s="1"/>
  <c r="P68"/>
  <c r="N68" s="1"/>
  <c r="P110"/>
  <c r="N110" s="1"/>
  <c r="P401"/>
  <c r="N401" s="1"/>
  <c r="P277"/>
  <c r="N277" s="1"/>
  <c r="P42"/>
  <c r="N42" s="1"/>
  <c r="P153"/>
  <c r="N153" s="1"/>
  <c r="P246"/>
  <c r="N246" s="1"/>
  <c r="P221"/>
  <c r="N221" s="1"/>
  <c r="P70"/>
  <c r="N70" s="1"/>
  <c r="P390"/>
  <c r="N390" s="1"/>
  <c r="P51"/>
  <c r="N51" s="1"/>
  <c r="P162"/>
  <c r="N162" s="1"/>
  <c r="P297"/>
  <c r="N297" s="1"/>
  <c r="P384"/>
  <c r="N384" s="1"/>
  <c r="P94"/>
  <c r="N94" s="1"/>
  <c r="P309"/>
  <c r="N309" s="1"/>
  <c r="P137"/>
  <c r="N137" s="1"/>
  <c r="P253"/>
  <c r="N253" s="1"/>
  <c r="P192"/>
  <c r="N192" s="1"/>
  <c r="P338"/>
  <c r="N338" s="1"/>
  <c r="P380"/>
  <c r="N380" s="1"/>
  <c r="P197"/>
  <c r="N197" s="1"/>
  <c r="P163"/>
  <c r="N163" s="1"/>
  <c r="P206"/>
  <c r="N206" s="1"/>
  <c r="P345"/>
  <c r="N345" s="1"/>
  <c r="P99"/>
  <c r="N99" s="1"/>
  <c r="P142"/>
  <c r="N142" s="1"/>
  <c r="P185"/>
  <c r="N185" s="1"/>
  <c r="P291"/>
  <c r="N291" s="1"/>
  <c r="P285"/>
  <c r="N285" s="1"/>
  <c r="P252"/>
  <c r="N252" s="1"/>
  <c r="P136"/>
  <c r="N136" s="1"/>
  <c r="P83"/>
  <c r="N83" s="1"/>
  <c r="P339"/>
  <c r="N339" s="1"/>
  <c r="P194"/>
  <c r="N194" s="1"/>
  <c r="P49"/>
  <c r="N49" s="1"/>
  <c r="P233"/>
  <c r="N233" s="1"/>
  <c r="P320"/>
  <c r="N320" s="1"/>
  <c r="P15"/>
  <c r="N15" s="1"/>
  <c r="P271"/>
  <c r="N271" s="1"/>
  <c r="P126"/>
  <c r="N126" s="1"/>
  <c r="P382"/>
  <c r="N382" s="1"/>
  <c r="P369"/>
  <c r="N369" s="1"/>
  <c r="P96"/>
  <c r="N96" s="1"/>
  <c r="P245"/>
  <c r="N245" s="1"/>
  <c r="P203"/>
  <c r="N203" s="1"/>
  <c r="P58"/>
  <c r="N58" s="1"/>
  <c r="P314"/>
  <c r="N314" s="1"/>
  <c r="P169"/>
  <c r="N169" s="1"/>
  <c r="P292"/>
  <c r="N292" s="1"/>
  <c r="P310"/>
  <c r="N310" s="1"/>
  <c r="P300"/>
  <c r="N300" s="1"/>
  <c r="P164"/>
  <c r="N164" s="1"/>
  <c r="P231"/>
  <c r="N231" s="1"/>
  <c r="P86"/>
  <c r="N86" s="1"/>
  <c r="P21"/>
  <c r="N21" s="1"/>
  <c r="P344"/>
  <c r="N344" s="1"/>
  <c r="P30"/>
  <c r="N30" s="1"/>
  <c r="P141"/>
  <c r="N141" s="1"/>
  <c r="P56"/>
  <c r="N56" s="1"/>
  <c r="P363"/>
  <c r="N363" s="1"/>
  <c r="P73"/>
  <c r="N73" s="1"/>
  <c r="P272"/>
  <c r="N272" s="1"/>
  <c r="P381"/>
  <c r="N381" s="1"/>
  <c r="P391"/>
  <c r="N391" s="1"/>
  <c r="P108"/>
  <c r="N108" s="1"/>
  <c r="P52"/>
  <c r="N52" s="1"/>
  <c r="P259"/>
  <c r="N259" s="1"/>
  <c r="P114"/>
  <c r="N114" s="1"/>
  <c r="P370"/>
  <c r="N370" s="1"/>
  <c r="P393"/>
  <c r="N393" s="1"/>
  <c r="P144"/>
  <c r="N144" s="1"/>
  <c r="P269"/>
  <c r="N269" s="1"/>
  <c r="P191"/>
  <c r="N191" s="1"/>
  <c r="P46"/>
  <c r="N46" s="1"/>
  <c r="P302"/>
  <c r="N302" s="1"/>
  <c r="P157"/>
  <c r="N157" s="1"/>
  <c r="P316"/>
  <c r="N316" s="1"/>
  <c r="P405"/>
  <c r="N405" s="1"/>
  <c r="P123"/>
  <c r="N123" s="1"/>
  <c r="P379"/>
  <c r="N379" s="1"/>
  <c r="P234"/>
  <c r="N234" s="1"/>
  <c r="P89"/>
  <c r="N89" s="1"/>
  <c r="P92"/>
  <c r="N92" s="1"/>
  <c r="P240"/>
  <c r="N240" s="1"/>
  <c r="P321"/>
  <c r="N321" s="1"/>
  <c r="P349"/>
  <c r="N349" s="1"/>
  <c r="P151"/>
  <c r="N151" s="1"/>
  <c r="P407"/>
  <c r="N407" s="1"/>
  <c r="P278"/>
  <c r="N278" s="1"/>
  <c r="P396"/>
  <c r="N396" s="1"/>
  <c r="P116"/>
  <c r="N116" s="1"/>
  <c r="P243"/>
  <c r="N243" s="1"/>
  <c r="P98"/>
  <c r="N98" s="1"/>
  <c r="P354"/>
  <c r="N354" s="1"/>
  <c r="P209"/>
  <c r="N209" s="1"/>
  <c r="P208"/>
  <c r="N208" s="1"/>
  <c r="P132"/>
  <c r="N132" s="1"/>
  <c r="P367"/>
  <c r="N367" s="1"/>
  <c r="P77"/>
  <c r="N77" s="1"/>
  <c r="P264"/>
  <c r="N264" s="1"/>
  <c r="P299"/>
  <c r="N299" s="1"/>
  <c r="P400"/>
  <c r="N400" s="1"/>
  <c r="P248"/>
  <c r="N248" s="1"/>
  <c r="P327"/>
  <c r="N327" s="1"/>
  <c r="P213"/>
  <c r="N213" s="1"/>
  <c r="P82"/>
  <c r="N82" s="1"/>
  <c r="P333"/>
  <c r="N333" s="1"/>
  <c r="P125"/>
  <c r="N125" s="1"/>
  <c r="P347"/>
  <c r="N347" s="1"/>
  <c r="P304"/>
  <c r="N304" s="1"/>
  <c r="P375"/>
  <c r="N375" s="1"/>
  <c r="P325"/>
  <c r="N325" s="1"/>
  <c r="P129"/>
  <c r="N129" s="1"/>
  <c r="P351"/>
  <c r="N351" s="1"/>
  <c r="P296"/>
  <c r="N296" s="1"/>
  <c r="P394"/>
  <c r="N394" s="1"/>
  <c r="P312"/>
  <c r="N312" s="1"/>
  <c r="P181"/>
  <c r="N181" s="1"/>
  <c r="P65"/>
  <c r="N65" s="1"/>
  <c r="P287"/>
  <c r="N287" s="1"/>
  <c r="P32"/>
  <c r="N32" s="1"/>
  <c r="P330"/>
  <c r="N330" s="1"/>
  <c r="P236"/>
  <c r="N236" s="1"/>
  <c r="P53"/>
  <c r="N53" s="1"/>
  <c r="P35"/>
  <c r="N35" s="1"/>
  <c r="P121"/>
  <c r="N121" s="1"/>
  <c r="P223"/>
  <c r="N223" s="1"/>
  <c r="P326"/>
  <c r="N326" s="1"/>
  <c r="P146"/>
  <c r="N146" s="1"/>
  <c r="P388"/>
  <c r="N388" s="1"/>
  <c r="N59" l="1"/>
  <c r="D66" i="3" s="1" a="1"/>
  <c r="D66" s="1"/>
  <c r="D74" s="1" a="1"/>
  <c r="D74" s="1"/>
  <c r="I37" i="2" s="1"/>
  <c r="I43" s="1"/>
  <c r="D65" i="3" a="1"/>
  <c r="D65" s="1"/>
  <c r="D73" s="1" a="1"/>
  <c r="D73" s="1"/>
  <c r="I36" i="2" s="1"/>
  <c r="F42" s="1"/>
  <c r="N60" i="4"/>
  <c r="F43" i="2" l="1"/>
  <c r="J43"/>
  <c r="I34"/>
  <c r="I42"/>
  <c r="J42"/>
  <c r="I33"/>
  <c r="F7" i="13"/>
  <c r="H7"/>
  <c r="K7"/>
  <c r="E7"/>
  <c r="M7" l="1"/>
  <c r="L7"/>
  <c r="I7"/>
  <c r="J7" s="1"/>
</calcChain>
</file>

<file path=xl/comments1.xml><?xml version="1.0" encoding="utf-8"?>
<comments xmlns="http://schemas.openxmlformats.org/spreadsheetml/2006/main">
  <authors>
    <author>MOHAMMED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MOHAMMED:</t>
        </r>
        <r>
          <rPr>
            <sz val="9"/>
            <color indexed="81"/>
            <rFont val="Tahoma"/>
            <family val="2"/>
          </rPr>
          <t xml:space="preserve">
RPA2024 
ANNEXES A
ZONAGE SISMIQUE : WILAYAS &amp; COMMUNES</t>
        </r>
      </text>
    </comment>
    <comment ref="E6" authorId="0">
      <text>
        <r>
          <rPr>
            <b/>
            <sz val="9"/>
            <color indexed="81"/>
            <rFont val="Tahoma"/>
            <family val="2"/>
          </rPr>
          <t>MOHAMMED:</t>
        </r>
        <r>
          <rPr>
            <sz val="9"/>
            <color indexed="81"/>
            <rFont val="Tahoma"/>
            <family val="2"/>
          </rPr>
          <t xml:space="preserve">
RPA2024 : 
3.4 Classification des botiments selon leur importance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MOHAMMED:</t>
        </r>
        <r>
          <rPr>
            <sz val="9"/>
            <color indexed="81"/>
            <rFont val="Tahoma"/>
            <family val="2"/>
          </rPr>
          <t xml:space="preserve">
RAPPORT DE SOL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MOHAMMED:</t>
        </r>
        <r>
          <rPr>
            <sz val="9"/>
            <color indexed="81"/>
            <rFont val="Tahoma"/>
            <family val="2"/>
          </rPr>
          <t xml:space="preserve">
RPA2024 :
3.8 Facteur de qualite</t>
        </r>
      </text>
    </comment>
    <comment ref="K6" authorId="0">
      <text>
        <r>
          <rPr>
            <b/>
            <sz val="9"/>
            <color indexed="81"/>
            <rFont val="Tahoma"/>
            <family val="2"/>
          </rPr>
          <t>MOHAMMED:</t>
        </r>
        <r>
          <rPr>
            <sz val="9"/>
            <color indexed="81"/>
            <rFont val="Tahoma"/>
            <family val="2"/>
          </rPr>
          <t xml:space="preserve">
Pour calcul le Spectre de réponse
</t>
        </r>
      </text>
    </comment>
  </commentList>
</comments>
</file>

<file path=xl/comments2.xml><?xml version="1.0" encoding="utf-8"?>
<comments xmlns="http://schemas.openxmlformats.org/spreadsheetml/2006/main">
  <authors>
    <author>MOHAMMED</author>
    <author>Morsli</author>
  </authors>
  <commentList>
    <comment ref="D5" authorId="0">
      <text>
        <r>
          <rPr>
            <b/>
            <sz val="9"/>
            <color indexed="81"/>
            <rFont val="Tahoma"/>
            <family val="2"/>
          </rPr>
          <t>MORSLI:</t>
        </r>
        <r>
          <rPr>
            <sz val="9"/>
            <color indexed="81"/>
            <rFont val="Tahoma"/>
            <family val="2"/>
          </rPr>
          <t xml:space="preserve">
RPA2024 
ANNEXES A
ZONAGE SISMIQUE : WILAYAS &amp; COMMUNES</t>
        </r>
      </text>
    </comment>
    <comment ref="E5" authorId="0">
      <text>
        <r>
          <rPr>
            <b/>
            <sz val="9"/>
            <color indexed="81"/>
            <rFont val="Tahoma"/>
            <family val="2"/>
          </rPr>
          <t>MORSLI:</t>
        </r>
        <r>
          <rPr>
            <sz val="9"/>
            <color indexed="81"/>
            <rFont val="Tahoma"/>
            <family val="2"/>
          </rPr>
          <t xml:space="preserve">
RPA2024 : 
3.4 Classification des botiments selon leur importance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MORSLI:</t>
        </r>
        <r>
          <rPr>
            <sz val="9"/>
            <color indexed="81"/>
            <rFont val="Tahoma"/>
            <family val="2"/>
          </rPr>
          <t xml:space="preserve">
RAPPORT DE SOL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MORSLI:</t>
        </r>
        <r>
          <rPr>
            <sz val="9"/>
            <color indexed="81"/>
            <rFont val="Tahoma"/>
            <family val="2"/>
          </rPr>
          <t xml:space="preserve">
RPA2024 :
3.8 Facteur de qualite</t>
        </r>
      </text>
    </comment>
    <comment ref="H5" authorId="0">
      <text>
        <r>
          <rPr>
            <b/>
            <sz val="9"/>
            <color indexed="81"/>
            <rFont val="Tahoma"/>
            <family val="2"/>
          </rPr>
          <t>MORSLI:</t>
        </r>
        <r>
          <rPr>
            <sz val="9"/>
            <color indexed="81"/>
            <rFont val="Tahoma"/>
            <family val="2"/>
          </rPr>
          <t xml:space="preserve">
RPA2024 :
3.8 Facteur de qualite</t>
        </r>
      </text>
    </comment>
    <comment ref="I5" authorId="0">
      <text/>
    </comment>
    <comment ref="J5" authorId="0">
      <text/>
    </comment>
    <comment ref="L5" authorId="0">
      <text/>
    </comment>
    <comment ref="M5" authorId="0">
      <text/>
    </comment>
    <comment ref="N5" authorId="1">
      <text/>
    </comment>
    <comment ref="O5" authorId="1">
      <text/>
    </comment>
    <comment ref="D7" authorId="1">
      <text/>
    </comment>
    <comment ref="F13" authorId="1">
      <text/>
    </comment>
    <comment ref="G13" authorId="1">
      <text/>
    </comment>
    <comment ref="H13" authorId="1">
      <text/>
    </comment>
    <comment ref="I13" authorId="1">
      <text/>
    </comment>
    <comment ref="J13" authorId="1">
      <text/>
    </comment>
    <comment ref="K13" authorId="1">
      <text/>
    </comment>
    <comment ref="L13" authorId="1">
      <text/>
    </comment>
    <comment ref="M13" authorId="1">
      <text/>
    </comment>
  </commentList>
</comments>
</file>

<file path=xl/comments3.xml><?xml version="1.0" encoding="utf-8"?>
<comments xmlns="http://schemas.openxmlformats.org/spreadsheetml/2006/main">
  <authors>
    <author>MOHAMMED</author>
  </authors>
  <commentList>
    <comment ref="B52" authorId="0">
      <text>
        <r>
          <rPr>
            <b/>
            <sz val="9"/>
            <color indexed="81"/>
            <rFont val="Tahoma"/>
            <family val="2"/>
          </rPr>
          <t>MORSLI:</t>
        </r>
        <r>
          <rPr>
            <sz val="9"/>
            <color indexed="81"/>
            <rFont val="Tahoma"/>
            <family val="2"/>
          </rPr>
          <t xml:space="preserve">
Hauteur totale de la structure</t>
        </r>
      </text>
    </comment>
  </commentList>
</comments>
</file>

<file path=xl/comments4.xml><?xml version="1.0" encoding="utf-8"?>
<comments xmlns="http://schemas.openxmlformats.org/spreadsheetml/2006/main">
  <authors>
    <author>Morsli</author>
  </authors>
  <commentList>
    <comment ref="J42" authorId="0">
      <text/>
    </comment>
    <comment ref="J43" authorId="0">
      <text/>
    </comment>
  </commentList>
</comments>
</file>

<file path=xl/comments5.xml><?xml version="1.0" encoding="utf-8"?>
<comments xmlns="http://schemas.openxmlformats.org/spreadsheetml/2006/main">
  <authors>
    <author>Morsli</author>
  </authors>
  <commentList>
    <comment ref="E6" authorId="0">
      <text/>
    </comment>
    <comment ref="F6" authorId="0">
      <text/>
    </comment>
    <comment ref="G6" authorId="0">
      <text/>
    </comment>
    <comment ref="H6" authorId="0">
      <text/>
    </comment>
    <comment ref="I6" authorId="0">
      <text/>
    </comment>
  </commentList>
</comments>
</file>

<file path=xl/sharedStrings.xml><?xml version="1.0" encoding="utf-8"?>
<sst xmlns="http://schemas.openxmlformats.org/spreadsheetml/2006/main" count="566" uniqueCount="245">
  <si>
    <t>USAGE</t>
  </si>
  <si>
    <t>SITE</t>
  </si>
  <si>
    <t>R</t>
  </si>
  <si>
    <t>ZONE</t>
  </si>
  <si>
    <t>Coefficient d'accélération de zone "A"</t>
  </si>
  <si>
    <t>Sens X</t>
  </si>
  <si>
    <t>Sens Y</t>
  </si>
  <si>
    <t>I</t>
  </si>
  <si>
    <t>III</t>
  </si>
  <si>
    <t>1A</t>
  </si>
  <si>
    <t>1B</t>
  </si>
  <si>
    <t>S1</t>
  </si>
  <si>
    <t>S2</t>
  </si>
  <si>
    <t>S3</t>
  </si>
  <si>
    <t>S4</t>
  </si>
  <si>
    <t>A</t>
  </si>
  <si>
    <t>Facteur de qualité Q</t>
  </si>
  <si>
    <t>Hauteur (m)</t>
  </si>
  <si>
    <t>T1</t>
  </si>
  <si>
    <t>T2</t>
  </si>
  <si>
    <t>ξ (%)</t>
  </si>
  <si>
    <t>η</t>
  </si>
  <si>
    <t>II</t>
  </si>
  <si>
    <t>IV</t>
  </si>
  <si>
    <t>V</t>
  </si>
  <si>
    <t>VI</t>
  </si>
  <si>
    <t xml:space="preserve">Niveau de sismicité </t>
  </si>
  <si>
    <t>Très faible</t>
  </si>
  <si>
    <t>Faible</t>
  </si>
  <si>
    <t>Faible à moyenne</t>
  </si>
  <si>
    <t xml:space="preserve">Moyenne </t>
  </si>
  <si>
    <t>Moyenne à élevée</t>
  </si>
  <si>
    <t xml:space="preserve">Elevée </t>
  </si>
  <si>
    <t>Spectre</t>
  </si>
  <si>
    <t>Valeurs des paramètres décrivant les spectres de réponse élastique de type 1 (Zones IV,V et VI)</t>
  </si>
  <si>
    <t>S</t>
  </si>
  <si>
    <t>T3</t>
  </si>
  <si>
    <t>Valeurs des paramètres décrivant les spectres de réponse élastique de type 2 (Zones I,II et III)</t>
  </si>
  <si>
    <t>Définition des zones de sismicité et coefficient d’accélération</t>
  </si>
  <si>
    <t>Les valeurs du coefficient d’importance, I</t>
  </si>
  <si>
    <t>Coeff I</t>
  </si>
  <si>
    <t>Periode (S)</t>
  </si>
  <si>
    <t>Qf</t>
  </si>
  <si>
    <t>Zone</t>
  </si>
  <si>
    <t>Coefficient de correction "λ"</t>
  </si>
  <si>
    <t>Période fondamentale "Tempirique"</t>
  </si>
  <si>
    <t>Ordonnée du spectre de calcul "Sad/g (T0)"</t>
  </si>
  <si>
    <t>Les coefficients de spectre de calcul</t>
  </si>
  <si>
    <t>La force sismique totale "V"</t>
  </si>
  <si>
    <t>Distribution des charges verticales</t>
  </si>
  <si>
    <t>Coefficient de comportement global de la structure " R "</t>
  </si>
  <si>
    <t>La valeur du coefficient de correction d’amortissement visqueux "η"</t>
  </si>
  <si>
    <t>1- Système à ossature</t>
  </si>
  <si>
    <t>2- Système à contreventement mixte, équivalent à une ossature</t>
  </si>
  <si>
    <t>3- Système à ossature ou mixte équivalent à ossature avec remplissage en maçonnerie rigide</t>
  </si>
  <si>
    <t>4- Système à contreventement mixte, équivalent à des voiles</t>
  </si>
  <si>
    <t>5- Système de contreventement constitué par des voiles</t>
  </si>
  <si>
    <t>6- Système à ossature à noyau ou à effet noyau</t>
  </si>
  <si>
    <t>Condition</t>
  </si>
  <si>
    <t>Voiles</t>
  </si>
  <si>
    <t>Poteaux</t>
  </si>
  <si>
    <t>Zone I et II</t>
  </si>
  <si>
    <t>Zone III</t>
  </si>
  <si>
    <t>Zone IV</t>
  </si>
  <si>
    <t>Zone V et VI</t>
  </si>
  <si>
    <t>Remplissage</t>
  </si>
  <si>
    <t>Avec remplissage en maçonnerie rigide</t>
  </si>
  <si>
    <t>Sans remplissage en maçonnerie rigide</t>
  </si>
  <si>
    <t>N</t>
  </si>
  <si>
    <t>H</t>
  </si>
  <si>
    <t>Période empirique T (s)</t>
  </si>
  <si>
    <t>λx</t>
  </si>
  <si>
    <t>λy</t>
  </si>
  <si>
    <t>Vx</t>
  </si>
  <si>
    <t>Vy</t>
  </si>
  <si>
    <t>Force sismique Vx [KN] (statique équivalente)</t>
  </si>
  <si>
    <t>Force sismique Vy [KN] (statique équivalente)</t>
  </si>
  <si>
    <t>Ordonnée du spectre de calcul "Sad/g (T0x)"</t>
  </si>
  <si>
    <t>Ordonnée du spectre de calcul "Sad/g (T0y)"</t>
  </si>
  <si>
    <t>Voiles de contreventement</t>
  </si>
  <si>
    <t>Effort tranchant</t>
  </si>
  <si>
    <t>Etage</t>
  </si>
  <si>
    <t>Effort Tx</t>
  </si>
  <si>
    <t>Effort Ty</t>
  </si>
  <si>
    <t>Type de systèm</t>
  </si>
  <si>
    <t>Remarque</t>
  </si>
  <si>
    <t>Coefficient Ajouter</t>
  </si>
  <si>
    <t>Cat</t>
  </si>
  <si>
    <t>a</t>
  </si>
  <si>
    <t>b</t>
  </si>
  <si>
    <t>Catégories de pondérations</t>
  </si>
  <si>
    <t>W (KN)</t>
  </si>
  <si>
    <t>Xg (m)</t>
  </si>
  <si>
    <t>Yg (m)</t>
  </si>
  <si>
    <t>Mrx (KN.m)</t>
  </si>
  <si>
    <t>Mry (KN.m)</t>
  </si>
  <si>
    <t>Msx (KN.m)</t>
  </si>
  <si>
    <t>Msy (KN.m)</t>
  </si>
  <si>
    <t>H (m)</t>
  </si>
  <si>
    <t>Vx (KN)</t>
  </si>
  <si>
    <t>Vy (KN)</t>
  </si>
  <si>
    <t>Totale</t>
  </si>
  <si>
    <t>∆x (cm)</t>
  </si>
  <si>
    <t>∆y (cm)</t>
  </si>
  <si>
    <t>Poids</t>
  </si>
  <si>
    <t>Hauteur</t>
  </si>
  <si>
    <t>Condition X</t>
  </si>
  <si>
    <t>Condition Y</t>
  </si>
  <si>
    <t>θx</t>
  </si>
  <si>
    <t>θy</t>
  </si>
  <si>
    <t>Déplacement</t>
  </si>
  <si>
    <t xml:space="preserve">FEILLE DE CALCUL </t>
  </si>
  <si>
    <t>Δ ̅ (cm)</t>
  </si>
  <si>
    <t>Justification de non-effondrement</t>
  </si>
  <si>
    <t>Δ ̅ (cm) =</t>
  </si>
  <si>
    <t xml:space="preserve">Justification de limitation des dommages </t>
  </si>
  <si>
    <t>Période empirique T0x (s)</t>
  </si>
  <si>
    <t>Période empirique T0y (s)</t>
  </si>
  <si>
    <t>R (Spectre)</t>
  </si>
  <si>
    <t xml:space="preserve">Remplissage en maçonnerie </t>
  </si>
  <si>
    <t>Qfx</t>
  </si>
  <si>
    <t>Qfy</t>
  </si>
  <si>
    <t>Rx</t>
  </si>
  <si>
    <t>Ry</t>
  </si>
  <si>
    <t>W [KN]</t>
  </si>
  <si>
    <t xml:space="preserve">Coefficient de comportement "Rx" </t>
  </si>
  <si>
    <t xml:space="preserve">Coefficient de comportement "Ry" </t>
  </si>
  <si>
    <t>Facteur de Qualité "Qfx"</t>
  </si>
  <si>
    <t>Facteur de Qualité "Qfy"</t>
  </si>
  <si>
    <t>Sad/g (T)</t>
  </si>
  <si>
    <t>hammoutota@gmail.com</t>
  </si>
  <si>
    <t>Coefficient de correction d’amortissement visqueux "η"</t>
  </si>
  <si>
    <t>0,2.A.I</t>
  </si>
  <si>
    <t>Golbal</t>
  </si>
  <si>
    <t>Tempirique</t>
  </si>
  <si>
    <t>T0x</t>
  </si>
  <si>
    <t>T0y</t>
  </si>
  <si>
    <t>Sad/g (T0x)</t>
  </si>
  <si>
    <t>Sad/g (T0y)</t>
  </si>
  <si>
    <r>
      <t>1,3*T</t>
    </r>
    <r>
      <rPr>
        <sz val="12"/>
        <color theme="1"/>
        <rFont val="Arial Narrow"/>
        <family val="2"/>
      </rPr>
      <t>emp</t>
    </r>
  </si>
  <si>
    <t>Coefficient de correction "λx"</t>
  </si>
  <si>
    <t>Coefficient de correction "λy"</t>
  </si>
  <si>
    <t>ѴA.∆x</t>
  </si>
  <si>
    <t>ѴA.∆y</t>
  </si>
  <si>
    <t>DIRECTION X</t>
  </si>
  <si>
    <t>DIRECTION Y</t>
  </si>
  <si>
    <t>R.P.A 2024</t>
  </si>
  <si>
    <t>JUSTIFICATION VIS-A -VIS DE L'EFFET P-∆ ARTICLE 5.9</t>
  </si>
  <si>
    <t>JUSTIFICATION VIS-A-VIS DES DEPLACEMENTS INTER-ETAGES ARTICLE 5.10</t>
  </si>
  <si>
    <t>JUSTIFICATION VIS-A-VIS DE L'EQUILIBRE D'ENSEMBLE ARTICLE 5.5</t>
  </si>
  <si>
    <t>VERIFICATION DE L'EFFORT TRANCHANT A LA BASE "4.3.5 RPA2024"</t>
  </si>
  <si>
    <t xml:space="preserve"> R.P.A 2024</t>
  </si>
  <si>
    <r>
      <t>C</t>
    </r>
    <r>
      <rPr>
        <b/>
        <sz val="8"/>
        <color rgb="FF002060"/>
        <rFont val="Arial Narrow"/>
        <family val="2"/>
      </rPr>
      <t>T</t>
    </r>
  </si>
  <si>
    <t xml:space="preserve">FEILLE DE CALCUL POUR DEMARAGE DES CALCULS SISMIQUE </t>
  </si>
  <si>
    <t>Si vous remarquez une erreur ou avez une remarque, n’hésitez pas à me contacter par e-mail ou sur mon compte Telegram.</t>
  </si>
  <si>
    <t xml:space="preserve">Étapes de travail sur la feuille Excel :
</t>
  </si>
  <si>
    <t>Seulement les résultats et rien d’autre.</t>
  </si>
  <si>
    <t xml:space="preserve">VERIFICATIONS SISMIQUE PAR REGLES PARASISMIQUES ALGERIENNE (RPA 2024) </t>
  </si>
  <si>
    <t>https://t.me/MorsliHammou</t>
  </si>
  <si>
    <r>
      <rPr>
        <b/>
        <sz val="11"/>
        <color rgb="FFFF0000"/>
        <rFont val="Calibri"/>
        <family val="2"/>
        <scheme val="minor"/>
      </rPr>
      <t xml:space="preserve">Spectre 1 </t>
    </r>
    <r>
      <rPr>
        <b/>
        <sz val="11"/>
        <color theme="1"/>
        <rFont val="Calibri"/>
        <family val="2"/>
        <scheme val="minor"/>
      </rPr>
      <t>: Pour initialiser le calcul sismique.</t>
    </r>
  </si>
  <si>
    <r>
      <rPr>
        <b/>
        <sz val="11"/>
        <color rgb="FFFF0000"/>
        <rFont val="Calibri"/>
        <family val="2"/>
        <scheme val="minor"/>
      </rPr>
      <t>SPECTRE Hx ;SPECTRE Hy</t>
    </r>
    <r>
      <rPr>
        <b/>
        <sz val="11"/>
        <color theme="1"/>
        <rFont val="Calibri"/>
        <family val="2"/>
        <scheme val="minor"/>
      </rPr>
      <t xml:space="preserve"> : C'est une feuille à spectre de réponse souple après la vérification du coefficient R.</t>
    </r>
  </si>
  <si>
    <r>
      <t>1,3T</t>
    </r>
    <r>
      <rPr>
        <b/>
        <sz val="10"/>
        <rFont val="Arial Narrow"/>
        <family val="2"/>
      </rPr>
      <t>emp</t>
    </r>
  </si>
  <si>
    <r>
      <t>W</t>
    </r>
    <r>
      <rPr>
        <b/>
        <vertAlign val="subscript"/>
        <sz val="12"/>
        <color rgb="FF002060"/>
        <rFont val="Arial Narrow"/>
        <family val="2"/>
      </rPr>
      <t>PK</t>
    </r>
    <r>
      <rPr>
        <b/>
        <sz val="12"/>
        <color rgb="FF002060"/>
        <rFont val="Arial Narrow"/>
        <family val="2"/>
      </rPr>
      <t xml:space="preserve"> (KN)</t>
    </r>
  </si>
  <si>
    <r>
      <rPr>
        <b/>
        <sz val="12"/>
        <color rgb="FF002060"/>
        <rFont val="Calisto MT"/>
        <family val="1"/>
      </rPr>
      <t>∑</t>
    </r>
    <r>
      <rPr>
        <b/>
        <sz val="12"/>
        <color rgb="FF002060"/>
        <rFont val="Arial Narrow"/>
        <family val="2"/>
      </rPr>
      <t>W</t>
    </r>
    <r>
      <rPr>
        <b/>
        <vertAlign val="subscript"/>
        <sz val="12"/>
        <color rgb="FF002060"/>
        <rFont val="Arial Narrow"/>
        <family val="2"/>
      </rPr>
      <t>PK</t>
    </r>
    <r>
      <rPr>
        <b/>
        <sz val="12"/>
        <color rgb="FF002060"/>
        <rFont val="Arial Narrow"/>
        <family val="2"/>
      </rPr>
      <t xml:space="preserve"> (KN)</t>
    </r>
  </si>
  <si>
    <r>
      <t>F</t>
    </r>
    <r>
      <rPr>
        <b/>
        <vertAlign val="subscript"/>
        <sz val="12"/>
        <color rgb="FF002060"/>
        <rFont val="Arial Narrow"/>
        <family val="2"/>
      </rPr>
      <t>pkx</t>
    </r>
  </si>
  <si>
    <r>
      <t>∑F</t>
    </r>
    <r>
      <rPr>
        <b/>
        <vertAlign val="subscript"/>
        <sz val="12"/>
        <color rgb="FF002060"/>
        <rFont val="Arial Narrow"/>
        <family val="2"/>
      </rPr>
      <t>ix</t>
    </r>
  </si>
  <si>
    <r>
      <t>∑F</t>
    </r>
    <r>
      <rPr>
        <b/>
        <vertAlign val="subscript"/>
        <sz val="12"/>
        <color rgb="FF002060"/>
        <rFont val="Arial Narrow"/>
        <family val="2"/>
      </rPr>
      <t>iy</t>
    </r>
  </si>
  <si>
    <r>
      <t>F</t>
    </r>
    <r>
      <rPr>
        <b/>
        <vertAlign val="subscript"/>
        <sz val="12"/>
        <color rgb="FF002060"/>
        <rFont val="Arial Narrow"/>
        <family val="2"/>
      </rPr>
      <t>pky</t>
    </r>
  </si>
  <si>
    <r>
      <t>0,35.A.I.S.W</t>
    </r>
    <r>
      <rPr>
        <b/>
        <vertAlign val="subscript"/>
        <sz val="12"/>
        <color rgb="FF002060"/>
        <rFont val="Arial Narrow"/>
        <family val="2"/>
      </rPr>
      <t>pk</t>
    </r>
  </si>
  <si>
    <r>
      <t>0,70.A.I.S.W</t>
    </r>
    <r>
      <rPr>
        <b/>
        <vertAlign val="subscript"/>
        <sz val="12"/>
        <color rgb="FF002060"/>
        <rFont val="Arial Narrow"/>
        <family val="2"/>
      </rPr>
      <t>pk</t>
    </r>
  </si>
  <si>
    <r>
      <t>F</t>
    </r>
    <r>
      <rPr>
        <b/>
        <vertAlign val="subscript"/>
        <sz val="12"/>
        <color rgb="FF002060"/>
        <rFont val="Arial Narrow"/>
        <family val="2"/>
      </rPr>
      <t>pk (min)</t>
    </r>
  </si>
  <si>
    <r>
      <t>F</t>
    </r>
    <r>
      <rPr>
        <b/>
        <vertAlign val="subscript"/>
        <sz val="12"/>
        <color rgb="FF002060"/>
        <rFont val="Arial Narrow"/>
        <family val="2"/>
      </rPr>
      <t>pk (max)</t>
    </r>
  </si>
  <si>
    <t>Après vérification, ce système correspond-il à un système à ossature à noyau ou à effet de noyau (système 6) ?</t>
  </si>
  <si>
    <t>système 6 ?</t>
  </si>
  <si>
    <t>NON</t>
  </si>
  <si>
    <t xml:space="preserve">Distribution de l'éffort tranchant
</t>
  </si>
  <si>
    <t>TOTAL</t>
  </si>
  <si>
    <t>∑ Poids</t>
  </si>
  <si>
    <t>dr UX [cm]</t>
  </si>
  <si>
    <t>dr UY [cm]</t>
  </si>
  <si>
    <t>H [m]</t>
  </si>
  <si>
    <t>Tx [KN]</t>
  </si>
  <si>
    <t>Ty [KN]</t>
  </si>
  <si>
    <t>Fz [KN]</t>
  </si>
  <si>
    <t>1/(1-θx)</t>
  </si>
  <si>
    <t>1/(1-θy)</t>
  </si>
  <si>
    <t>SYSTEME A OSSATURE A NOYAU OU A EFFET DE NOYAU (SYSTEME 6)  ARTICLE 3.5</t>
  </si>
  <si>
    <t xml:space="preserve">Ux (m) </t>
  </si>
  <si>
    <t xml:space="preserve">Uy (m) </t>
  </si>
  <si>
    <t>Rz (Rad)</t>
  </si>
  <si>
    <r>
      <t>K</t>
    </r>
    <r>
      <rPr>
        <b/>
        <vertAlign val="subscript"/>
        <sz val="12"/>
        <color rgb="FF002060"/>
        <rFont val="Arial Narrow"/>
        <family val="2"/>
      </rPr>
      <t xml:space="preserve">FX </t>
    </r>
    <r>
      <rPr>
        <b/>
        <sz val="12"/>
        <color rgb="FF002060"/>
        <rFont val="Arial Narrow"/>
        <family val="2"/>
      </rPr>
      <t>(KN/m)</t>
    </r>
  </si>
  <si>
    <r>
      <t>K</t>
    </r>
    <r>
      <rPr>
        <b/>
        <vertAlign val="subscript"/>
        <sz val="12"/>
        <color rgb="FF002060"/>
        <rFont val="Arial Narrow"/>
        <family val="2"/>
      </rPr>
      <t xml:space="preserve">FY </t>
    </r>
    <r>
      <rPr>
        <b/>
        <sz val="12"/>
        <color rgb="FF002060"/>
        <rFont val="Arial Narrow"/>
        <family val="2"/>
      </rPr>
      <t>(KN/m)</t>
    </r>
  </si>
  <si>
    <r>
      <t>K</t>
    </r>
    <r>
      <rPr>
        <b/>
        <vertAlign val="subscript"/>
        <sz val="12"/>
        <color rgb="FF002060"/>
        <rFont val="Arial Narrow"/>
        <family val="2"/>
      </rPr>
      <t xml:space="preserve">MT </t>
    </r>
    <r>
      <rPr>
        <b/>
        <sz val="12"/>
        <color rgb="FF002060"/>
        <rFont val="Arial Narrow"/>
        <family val="2"/>
      </rPr>
      <t>(KN/Rad)</t>
    </r>
  </si>
  <si>
    <r>
      <t>r</t>
    </r>
    <r>
      <rPr>
        <b/>
        <vertAlign val="subscript"/>
        <sz val="12"/>
        <color rgb="FF002060"/>
        <rFont val="Arial Narrow"/>
        <family val="2"/>
      </rPr>
      <t xml:space="preserve">x </t>
    </r>
    <r>
      <rPr>
        <b/>
        <sz val="12"/>
        <color rgb="FF002060"/>
        <rFont val="Arial Narrow"/>
        <family val="2"/>
      </rPr>
      <t>(m)</t>
    </r>
  </si>
  <si>
    <r>
      <t>r</t>
    </r>
    <r>
      <rPr>
        <b/>
        <vertAlign val="subscript"/>
        <sz val="12"/>
        <color rgb="FF002060"/>
        <rFont val="Arial Narrow"/>
        <family val="2"/>
      </rPr>
      <t xml:space="preserve">y </t>
    </r>
    <r>
      <rPr>
        <b/>
        <sz val="12"/>
        <color rgb="FF002060"/>
        <rFont val="Arial Narrow"/>
        <family val="2"/>
      </rPr>
      <t>(m)</t>
    </r>
  </si>
  <si>
    <t>Masse (kg)</t>
  </si>
  <si>
    <t>Iz (kg/m²)</t>
  </si>
  <si>
    <t>Fx; Fy; Mz</t>
  </si>
  <si>
    <t>ls (m)</t>
  </si>
  <si>
    <r>
      <rPr>
        <b/>
        <sz val="10"/>
        <color rgb="FF002060"/>
        <rFont val="Arial Narrow"/>
        <family val="2"/>
      </rPr>
      <t xml:space="preserve">VERIFICATIONS </t>
    </r>
    <r>
      <rPr>
        <b/>
        <sz val="12"/>
        <color rgb="FF002060"/>
        <rFont val="Arial Narrow"/>
        <family val="2"/>
      </rPr>
      <t>r</t>
    </r>
    <r>
      <rPr>
        <b/>
        <vertAlign val="subscript"/>
        <sz val="12"/>
        <color rgb="FF002060"/>
        <rFont val="Arial Narrow"/>
        <family val="2"/>
      </rPr>
      <t>x,y</t>
    </r>
    <r>
      <rPr>
        <b/>
        <sz val="12"/>
        <color rgb="FF002060"/>
        <rFont val="Arial Narrow"/>
        <family val="2"/>
      </rPr>
      <t xml:space="preserve"> ≤ ls</t>
    </r>
  </si>
  <si>
    <t>Ce système correspond-il à un système à ossature à noyau ou à effet de noyau (système 6) ? :</t>
  </si>
  <si>
    <r>
      <t>Tx</t>
    </r>
    <r>
      <rPr>
        <b/>
        <vertAlign val="subscript"/>
        <sz val="12"/>
        <color rgb="FF002060"/>
        <rFont val="Arial Narrow"/>
        <family val="2"/>
      </rPr>
      <t>Calcul</t>
    </r>
  </si>
  <si>
    <r>
      <t>Ty</t>
    </r>
    <r>
      <rPr>
        <b/>
        <vertAlign val="subscript"/>
        <sz val="12"/>
        <color rgb="FF002060"/>
        <rFont val="Arial Narrow"/>
        <family val="2"/>
      </rPr>
      <t>Calcul</t>
    </r>
  </si>
  <si>
    <r>
      <t>N</t>
    </r>
    <r>
      <rPr>
        <b/>
        <vertAlign val="subscript"/>
        <sz val="12"/>
        <color rgb="FF002060"/>
        <rFont val="Arial Narrow"/>
        <family val="2"/>
      </rPr>
      <t>étages</t>
    </r>
  </si>
  <si>
    <r>
      <rPr>
        <b/>
        <sz val="11"/>
        <color rgb="FFFF0000"/>
        <rFont val="Calibri"/>
        <family val="2"/>
        <scheme val="minor"/>
      </rPr>
      <t>Données</t>
    </r>
    <r>
      <rPr>
        <b/>
        <sz val="11"/>
        <color theme="1"/>
        <rFont val="Calibri"/>
        <family val="2"/>
        <scheme val="minor"/>
      </rPr>
      <t xml:space="preserve"> : Cette feuille est exclusivement dédiée à la saisie de toutes les informations.</t>
    </r>
  </si>
  <si>
    <r>
      <rPr>
        <b/>
        <sz val="11"/>
        <color rgb="FFFF0000"/>
        <rFont val="Calibri"/>
        <family val="2"/>
        <scheme val="minor"/>
      </rPr>
      <t>EFFET DE NOYAU</t>
    </r>
    <r>
      <rPr>
        <b/>
        <sz val="11"/>
        <color theme="1"/>
        <rFont val="Calibri"/>
        <family val="2"/>
        <scheme val="minor"/>
      </rPr>
      <t xml:space="preserve"> :Cette feuille est destinée à la vérification du système à ossature à noyau ou à effet de noyau</t>
    </r>
  </si>
  <si>
    <t>VERSION :</t>
  </si>
  <si>
    <t>DIAPHRAGME RIGIDE OU FLEXIBLE 2.6.2</t>
  </si>
  <si>
    <t>AVEC DIAPHRAGME</t>
  </si>
  <si>
    <t>SANS DIAPHRAGME</t>
  </si>
  <si>
    <t xml:space="preserve">Ux (cm) </t>
  </si>
  <si>
    <t xml:space="preserve">Uy (cm) </t>
  </si>
  <si>
    <r>
      <rPr>
        <b/>
        <sz val="12"/>
        <color rgb="FF002060"/>
        <rFont val="Times New Roman"/>
        <family val="1"/>
      </rPr>
      <t>Δ</t>
    </r>
    <r>
      <rPr>
        <b/>
        <sz val="12"/>
        <color rgb="FF002060"/>
        <rFont val="Arial Narrow"/>
        <family val="2"/>
      </rPr>
      <t>Ux (%)</t>
    </r>
  </si>
  <si>
    <t>ΔUy (%)</t>
  </si>
  <si>
    <t>DIAPHRAGME</t>
  </si>
  <si>
    <t>SPECTRE DE CALCUL HORIZONTAL</t>
  </si>
  <si>
    <t>R/Qf</t>
  </si>
  <si>
    <t>dr UX (cm)</t>
  </si>
  <si>
    <t>dr UY (cm)</t>
  </si>
  <si>
    <r>
      <rPr>
        <b/>
        <sz val="11"/>
        <color rgb="FFFF0000"/>
        <rFont val="Calibri"/>
        <family val="2"/>
        <scheme val="minor"/>
      </rPr>
      <t>DIAPHRAGME</t>
    </r>
    <r>
      <rPr>
        <b/>
        <sz val="11"/>
        <color theme="1"/>
        <rFont val="Calibri"/>
        <family val="2"/>
        <scheme val="minor"/>
      </rPr>
      <t xml:space="preserve"> :Cette feuille est destinée à la vérification DIAPHRAGME RIGIDE OU FLEXIBLE (souple)</t>
    </r>
  </si>
  <si>
    <r>
      <t>Q</t>
    </r>
    <r>
      <rPr>
        <b/>
        <vertAlign val="subscript"/>
        <sz val="12"/>
        <color rgb="FF002060"/>
        <rFont val="Arial Narrow"/>
        <family val="2"/>
      </rPr>
      <t>fx</t>
    </r>
  </si>
  <si>
    <r>
      <t>Q</t>
    </r>
    <r>
      <rPr>
        <b/>
        <vertAlign val="subscript"/>
        <sz val="12"/>
        <color rgb="FF002060"/>
        <rFont val="Arial Narrow"/>
        <family val="2"/>
      </rPr>
      <t>fy</t>
    </r>
  </si>
  <si>
    <t>Force sismique Vxd [KN] (Dynamique)</t>
  </si>
  <si>
    <t>Force sismique Vyd [KN] (Dynamique)</t>
  </si>
  <si>
    <t>Uxy (Diaphraghme flexible) ≤ Uxy + 10% (Diaphragme regide)</t>
  </si>
  <si>
    <t>Uxy (Diaphraghme flexible) ≥ Uxy + 10% (Diaphragme regide)</t>
  </si>
  <si>
    <t>Diaphragme regide</t>
  </si>
  <si>
    <t>Diaphragme flexible</t>
  </si>
  <si>
    <t xml:space="preserve">      JUSTIFICATION VIS-A-VIS DE LA RESISTANCE DES PLANCHERS ARTICLE 5.6</t>
  </si>
  <si>
    <r>
      <t xml:space="preserve"> Design F</t>
    </r>
    <r>
      <rPr>
        <b/>
        <vertAlign val="subscript"/>
        <sz val="12"/>
        <color rgb="FF002060"/>
        <rFont val="Arial Narrow"/>
        <family val="2"/>
      </rPr>
      <t>pky</t>
    </r>
  </si>
  <si>
    <r>
      <t xml:space="preserve"> Design F</t>
    </r>
    <r>
      <rPr>
        <b/>
        <vertAlign val="subscript"/>
        <sz val="12"/>
        <color rgb="FF002060"/>
        <rFont val="Arial Narrow"/>
        <family val="2"/>
      </rPr>
      <t>pkx</t>
    </r>
  </si>
  <si>
    <t>SPECTRE VERTICALE</t>
  </si>
  <si>
    <t>Av/A</t>
  </si>
  <si>
    <t>Av</t>
  </si>
  <si>
    <t>Les coefficients de spectre de calcul verticale</t>
  </si>
  <si>
    <t>α</t>
  </si>
  <si>
    <t>0,2.Av.I</t>
  </si>
  <si>
    <t>SPECTRE POUR DEMMARAGE DE MODILISATION VERTICALE</t>
  </si>
  <si>
    <t>SPECTRE POUR DEMMARAGE DE MODILISATION HORIZONTALE</t>
  </si>
  <si>
    <t>Les coefficients de spectre de calcul horizontale</t>
  </si>
  <si>
    <t>SPECTRE HORIZONTALE</t>
  </si>
  <si>
    <t>SPECTRE DE CALCUL VERTICAL</t>
  </si>
  <si>
    <t>Vers 1.5.1</t>
  </si>
  <si>
    <t>Svd/g (T)</t>
  </si>
  <si>
    <t>0,0075hk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</si>
</sst>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0.0000"/>
    <numFmt numFmtId="166" formatCode="0.0"/>
    <numFmt numFmtId="167" formatCode="0.000000"/>
  </numFmts>
  <fonts count="6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 Narrow"/>
      <family val="2"/>
    </font>
    <font>
      <b/>
      <sz val="12"/>
      <color theme="3"/>
      <name val="Arial Narrow"/>
      <family val="2"/>
    </font>
    <font>
      <b/>
      <sz val="12"/>
      <color rgb="FFFF0000"/>
      <name val="Arial Narrow"/>
      <family val="2"/>
    </font>
    <font>
      <sz val="12"/>
      <color theme="1"/>
      <name val="Arial Narrow"/>
      <family val="2"/>
    </font>
    <font>
      <b/>
      <sz val="11"/>
      <color theme="1"/>
      <name val="Arial Narrow"/>
      <family val="2"/>
    </font>
    <font>
      <b/>
      <sz val="11"/>
      <color rgb="FFFF0000"/>
      <name val="Arial Narrow"/>
      <family val="2"/>
    </font>
    <font>
      <b/>
      <sz val="12"/>
      <name val="Arial Narrow"/>
      <family val="2"/>
    </font>
    <font>
      <b/>
      <sz val="11"/>
      <name val="Arial Narrow"/>
      <family val="2"/>
    </font>
    <font>
      <b/>
      <sz val="11"/>
      <color rgb="FF002060"/>
      <name val="Arial Narrow"/>
      <family val="2"/>
    </font>
    <font>
      <b/>
      <sz val="12"/>
      <color rgb="FF002060"/>
      <name val="Arial Narrow"/>
      <family val="2"/>
    </font>
    <font>
      <u/>
      <sz val="11"/>
      <color theme="10"/>
      <name val="Calibri"/>
      <family val="2"/>
    </font>
    <font>
      <sz val="11"/>
      <color theme="1"/>
      <name val="Arial Narrow"/>
      <family val="2"/>
    </font>
    <font>
      <b/>
      <sz val="11"/>
      <color rgb="FF242021"/>
      <name val="Arial Narrow"/>
      <family val="2"/>
    </font>
    <font>
      <sz val="11"/>
      <color rgb="FF0070C0"/>
      <name val="Arial Narrow"/>
      <family val="2"/>
    </font>
    <font>
      <b/>
      <sz val="12"/>
      <color rgb="FFC00000"/>
      <name val="Arial Narrow"/>
      <family val="2"/>
    </font>
    <font>
      <b/>
      <sz val="12"/>
      <color rgb="FF242021"/>
      <name val="Arial Narrow"/>
      <family val="2"/>
    </font>
    <font>
      <sz val="12"/>
      <color rgb="FFFF0000"/>
      <name val="Arial Narrow"/>
      <family val="2"/>
    </font>
    <font>
      <sz val="12"/>
      <color rgb="FF00B0F0"/>
      <name val="Arial Narrow"/>
      <family val="2"/>
    </font>
    <font>
      <sz val="12"/>
      <color rgb="FF242021"/>
      <name val="Arial Narrow"/>
      <family val="2"/>
    </font>
    <font>
      <sz val="12"/>
      <name val="Arial Narrow"/>
      <family val="2"/>
    </font>
    <font>
      <sz val="11"/>
      <color theme="1"/>
      <name val="Arial"/>
      <family val="2"/>
    </font>
    <font>
      <b/>
      <sz val="12"/>
      <color theme="8" tint="-0.499984740745262"/>
      <name val="Arial Narrow"/>
      <family val="2"/>
    </font>
    <font>
      <b/>
      <sz val="16"/>
      <name val="Times New Roman"/>
      <family val="1"/>
    </font>
    <font>
      <b/>
      <i/>
      <sz val="10"/>
      <name val="Times New Roman"/>
      <family val="1"/>
    </font>
    <font>
      <u/>
      <sz val="10"/>
      <color indexed="12"/>
      <name val="Arial"/>
      <family val="2"/>
    </font>
    <font>
      <sz val="10"/>
      <name val="Times New Roman"/>
      <family val="1"/>
    </font>
    <font>
      <sz val="12"/>
      <color rgb="FF002060"/>
      <name val="Arial Narrow"/>
      <family val="2"/>
    </font>
    <font>
      <b/>
      <sz val="8"/>
      <color rgb="FF002060"/>
      <name val="Arial Narrow"/>
      <family val="2"/>
    </font>
    <font>
      <b/>
      <sz val="11"/>
      <color theme="8" tint="-0.499984740745262"/>
      <name val="Arial Narrow"/>
      <family val="2"/>
    </font>
    <font>
      <b/>
      <sz val="11"/>
      <color theme="9" tint="-0.249977111117893"/>
      <name val="Arial Narrow"/>
      <family val="2"/>
    </font>
    <font>
      <sz val="11"/>
      <color rgb="FF002060"/>
      <name val="Arial Narrow"/>
      <family val="2"/>
    </font>
    <font>
      <b/>
      <i/>
      <sz val="10"/>
      <name val="Arial Narrow"/>
      <family val="2"/>
    </font>
    <font>
      <u/>
      <sz val="10"/>
      <color indexed="12"/>
      <name val="Arial Narrow"/>
      <family val="2"/>
    </font>
    <font>
      <sz val="10"/>
      <name val="Arial Narrow"/>
      <family val="2"/>
    </font>
    <font>
      <b/>
      <sz val="11"/>
      <color theme="8" tint="-0.499984740745262"/>
      <name val="Calibri"/>
      <family val="2"/>
      <scheme val="minor"/>
    </font>
    <font>
      <b/>
      <sz val="18"/>
      <name val="Times New Roman"/>
      <family val="1"/>
    </font>
    <font>
      <b/>
      <sz val="11"/>
      <color rgb="FFFF0000"/>
      <name val="Calibri"/>
      <family val="2"/>
      <scheme val="minor"/>
    </font>
    <font>
      <b/>
      <sz val="10"/>
      <name val="Arial Narrow"/>
      <family val="2"/>
    </font>
    <font>
      <b/>
      <vertAlign val="subscript"/>
      <sz val="12"/>
      <color rgb="FF002060"/>
      <name val="Arial Narrow"/>
      <family val="2"/>
    </font>
    <font>
      <b/>
      <sz val="12"/>
      <color rgb="FF002060"/>
      <name val="Calisto MT"/>
      <family val="1"/>
    </font>
    <font>
      <b/>
      <sz val="12"/>
      <color theme="8" tint="-0.249977111117893"/>
      <name val="Arial Narrow"/>
      <family val="2"/>
    </font>
    <font>
      <sz val="12"/>
      <color theme="1"/>
      <name val="Calibri"/>
      <family val="2"/>
    </font>
    <font>
      <sz val="10"/>
      <color theme="1"/>
      <name val="Arial Narrow"/>
      <family val="2"/>
    </font>
    <font>
      <b/>
      <sz val="14"/>
      <name val="Times New Roman"/>
      <family val="1"/>
    </font>
    <font>
      <b/>
      <sz val="12"/>
      <color rgb="FF0070C0"/>
      <name val="Arial Narrow"/>
      <family val="2"/>
    </font>
    <font>
      <b/>
      <sz val="12"/>
      <color theme="5" tint="0.39997558519241921"/>
      <name val="Arial Narrow"/>
      <family val="2"/>
    </font>
    <font>
      <b/>
      <sz val="12"/>
      <color rgb="FF00B0F0"/>
      <name val="Arial Narrow"/>
      <family val="2"/>
    </font>
    <font>
      <b/>
      <sz val="10"/>
      <color rgb="FF002060"/>
      <name val="Arial Narrow"/>
      <family val="2"/>
    </font>
    <font>
      <b/>
      <sz val="12"/>
      <color rgb="FF7030A0"/>
      <name val="Arial Narrow"/>
      <family val="2"/>
    </font>
    <font>
      <b/>
      <sz val="12"/>
      <color theme="1" tint="0.34998626667073579"/>
      <name val="Arial Narrow"/>
      <family val="2"/>
    </font>
    <font>
      <b/>
      <sz val="12"/>
      <color rgb="FFFFC000"/>
      <name val="Arial Narrow"/>
      <family val="2"/>
    </font>
    <font>
      <sz val="11"/>
      <color theme="1"/>
      <name val="Calibri"/>
      <family val="2"/>
      <scheme val="minor"/>
    </font>
    <font>
      <b/>
      <sz val="12"/>
      <color rgb="FF002060"/>
      <name val="Times New Roman"/>
      <family val="1"/>
    </font>
    <font>
      <b/>
      <sz val="12"/>
      <color theme="9"/>
      <name val="Arial Narrow"/>
      <family val="2"/>
    </font>
    <font>
      <b/>
      <sz val="12"/>
      <color theme="2" tint="-0.499984740745262"/>
      <name val="Arial Narrow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249977111117893"/>
      <name val="Arial Narrow"/>
      <family val="2"/>
    </font>
    <font>
      <b/>
      <sz val="11"/>
      <color theme="1"/>
      <name val="Century"/>
      <family val="1"/>
    </font>
    <font>
      <b/>
      <sz val="11"/>
      <color rgb="FF0070C0"/>
      <name val="Arial Narrow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4" fillId="0" borderId="0" applyNumberFormat="0" applyFill="0" applyBorder="0" applyAlignment="0" applyProtection="0">
      <alignment vertical="top"/>
      <protection locked="0"/>
    </xf>
    <xf numFmtId="9" fontId="55" fillId="0" borderId="0" applyFont="0" applyFill="0" applyBorder="0" applyAlignment="0" applyProtection="0"/>
  </cellStyleXfs>
  <cellXfs count="426">
    <xf numFmtId="0" fontId="0" fillId="0" borderId="0" xfId="0"/>
    <xf numFmtId="0" fontId="7" fillId="0" borderId="0" xfId="0" applyFont="1"/>
    <xf numFmtId="0" fontId="6" fillId="0" borderId="1" xfId="0" applyFont="1" applyBorder="1" applyAlignment="1">
      <alignment horizontal="center" vertical="center" wrapText="1"/>
    </xf>
    <xf numFmtId="2" fontId="7" fillId="0" borderId="0" xfId="0" applyNumberFormat="1" applyFont="1"/>
    <xf numFmtId="164" fontId="7" fillId="0" borderId="0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vertical="center"/>
    </xf>
    <xf numFmtId="164" fontId="7" fillId="0" borderId="0" xfId="0" applyNumberFormat="1" applyFont="1"/>
    <xf numFmtId="0" fontId="8" fillId="0" borderId="0" xfId="0" applyFont="1"/>
    <xf numFmtId="0" fontId="8" fillId="4" borderId="1" xfId="0" applyFont="1" applyFill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7" fillId="0" borderId="0" xfId="0" applyFont="1" applyBorder="1" applyAlignment="1"/>
    <xf numFmtId="0" fontId="15" fillId="0" borderId="0" xfId="0" applyFont="1"/>
    <xf numFmtId="10" fontId="15" fillId="0" borderId="0" xfId="0" applyNumberFormat="1" applyFont="1"/>
    <xf numFmtId="0" fontId="15" fillId="0" borderId="0" xfId="0" applyFont="1" applyBorder="1" applyAlignment="1"/>
    <xf numFmtId="0" fontId="8" fillId="0" borderId="1" xfId="0" applyFont="1" applyBorder="1" applyAlignment="1">
      <alignment horizontal="center"/>
    </xf>
    <xf numFmtId="0" fontId="15" fillId="0" borderId="0" xfId="0" applyFont="1" applyBorder="1"/>
    <xf numFmtId="0" fontId="15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2" fontId="17" fillId="3" borderId="1" xfId="0" applyNumberFormat="1" applyFont="1" applyFill="1" applyBorder="1" applyAlignment="1">
      <alignment horizontal="center"/>
    </xf>
    <xf numFmtId="165" fontId="17" fillId="3" borderId="1" xfId="0" applyNumberFormat="1" applyFont="1" applyFill="1" applyBorder="1" applyAlignment="1">
      <alignment horizontal="center"/>
    </xf>
    <xf numFmtId="0" fontId="9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2" fontId="11" fillId="0" borderId="0" xfId="0" applyNumberFormat="1" applyFont="1" applyFill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/>
    </xf>
    <xf numFmtId="0" fontId="7" fillId="0" borderId="0" xfId="0" applyFont="1" applyBorder="1"/>
    <xf numFmtId="0" fontId="22" fillId="0" borderId="0" xfId="0" applyFont="1"/>
    <xf numFmtId="0" fontId="7" fillId="0" borderId="0" xfId="0" applyFont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165" fontId="21" fillId="0" borderId="1" xfId="0" applyNumberFormat="1" applyFont="1" applyFill="1" applyBorder="1" applyAlignment="1">
      <alignment horizontal="center"/>
    </xf>
    <xf numFmtId="0" fontId="23" fillId="0" borderId="0" xfId="0" applyFont="1"/>
    <xf numFmtId="2" fontId="7" fillId="0" borderId="0" xfId="0" applyNumberFormat="1" applyFont="1" applyBorder="1" applyAlignment="1">
      <alignment horizontal="center"/>
    </xf>
    <xf numFmtId="165" fontId="7" fillId="0" borderId="0" xfId="0" applyNumberFormat="1" applyFont="1" applyBorder="1" applyAlignment="1">
      <alignment horizontal="center"/>
    </xf>
    <xf numFmtId="0" fontId="20" fillId="0" borderId="0" xfId="0" applyFont="1" applyBorder="1" applyAlignment="1">
      <alignment horizontal="left"/>
    </xf>
    <xf numFmtId="0" fontId="4" fillId="0" borderId="0" xfId="0" applyFont="1" applyAlignment="1"/>
    <xf numFmtId="2" fontId="18" fillId="0" borderId="0" xfId="0" applyNumberFormat="1" applyFont="1" applyBorder="1" applyAlignment="1">
      <alignment horizontal="center" vertical="center"/>
    </xf>
    <xf numFmtId="2" fontId="10" fillId="0" borderId="31" xfId="0" applyNumberFormat="1" applyFont="1" applyBorder="1" applyAlignment="1">
      <alignment horizontal="center" vertical="center"/>
    </xf>
    <xf numFmtId="0" fontId="6" fillId="2" borderId="31" xfId="0" applyFont="1" applyFill="1" applyBorder="1" applyAlignment="1" applyProtection="1">
      <alignment horizontal="center" vertical="center"/>
      <protection locked="0"/>
    </xf>
    <xf numFmtId="165" fontId="10" fillId="0" borderId="31" xfId="0" applyNumberFormat="1" applyFont="1" applyBorder="1" applyAlignment="1">
      <alignment horizontal="center" vertical="center"/>
    </xf>
    <xf numFmtId="0" fontId="27" fillId="13" borderId="36" xfId="0" applyFont="1" applyFill="1" applyBorder="1" applyAlignment="1" applyProtection="1">
      <alignment horizontal="left" vertical="center"/>
      <protection hidden="1"/>
    </xf>
    <xf numFmtId="0" fontId="24" fillId="13" borderId="35" xfId="0" applyFont="1" applyFill="1" applyBorder="1"/>
    <xf numFmtId="0" fontId="28" fillId="13" borderId="35" xfId="1" applyFont="1" applyFill="1" applyBorder="1" applyAlignment="1" applyProtection="1">
      <alignment horizontal="center" vertical="center"/>
      <protection hidden="1"/>
    </xf>
    <xf numFmtId="0" fontId="27" fillId="13" borderId="35" xfId="0" applyFont="1" applyFill="1" applyBorder="1" applyAlignment="1" applyProtection="1">
      <alignment horizontal="left" vertical="center"/>
      <protection hidden="1"/>
    </xf>
    <xf numFmtId="0" fontId="29" fillId="13" borderId="35" xfId="0" applyFont="1" applyFill="1" applyBorder="1" applyAlignment="1" applyProtection="1">
      <alignment horizontal="centerContinuous" vertical="center"/>
      <protection hidden="1"/>
    </xf>
    <xf numFmtId="0" fontId="24" fillId="13" borderId="40" xfId="0" applyFont="1" applyFill="1" applyBorder="1"/>
    <xf numFmtId="49" fontId="25" fillId="10" borderId="31" xfId="0" applyNumberFormat="1" applyFont="1" applyFill="1" applyBorder="1" applyAlignment="1">
      <alignment horizontal="center" vertical="center"/>
    </xf>
    <xf numFmtId="2" fontId="25" fillId="0" borderId="31" xfId="0" applyNumberFormat="1" applyFont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2" fontId="25" fillId="0" borderId="0" xfId="0" applyNumberFormat="1" applyFont="1" applyBorder="1" applyAlignment="1">
      <alignment horizontal="center" vertical="center"/>
    </xf>
    <xf numFmtId="2" fontId="10" fillId="0" borderId="0" xfId="0" applyNumberFormat="1" applyFont="1" applyBorder="1" applyAlignment="1">
      <alignment horizontal="center" vertical="center"/>
    </xf>
    <xf numFmtId="49" fontId="25" fillId="0" borderId="0" xfId="0" applyNumberFormat="1" applyFont="1" applyFill="1" applyBorder="1" applyAlignment="1">
      <alignment horizontal="center" vertical="center"/>
    </xf>
    <xf numFmtId="0" fontId="25" fillId="11" borderId="31" xfId="0" applyFont="1" applyFill="1" applyBorder="1" applyAlignment="1">
      <alignment horizontal="center" vertical="center"/>
    </xf>
    <xf numFmtId="49" fontId="25" fillId="10" borderId="43" xfId="0" applyNumberFormat="1" applyFont="1" applyFill="1" applyBorder="1" applyAlignment="1">
      <alignment horizontal="center" vertical="center"/>
    </xf>
    <xf numFmtId="2" fontId="10" fillId="0" borderId="43" xfId="0" applyNumberFormat="1" applyFont="1" applyBorder="1" applyAlignment="1">
      <alignment vertical="center"/>
    </xf>
    <xf numFmtId="2" fontId="10" fillId="0" borderId="44" xfId="0" applyNumberFormat="1" applyFont="1" applyBorder="1" applyAlignment="1">
      <alignment vertical="center"/>
    </xf>
    <xf numFmtId="2" fontId="10" fillId="0" borderId="44" xfId="0" applyNumberFormat="1" applyFont="1" applyBorder="1" applyAlignment="1">
      <alignment horizontal="center" vertical="center"/>
    </xf>
    <xf numFmtId="2" fontId="10" fillId="0" borderId="42" xfId="0" applyNumberFormat="1" applyFont="1" applyBorder="1" applyAlignment="1">
      <alignment vertical="center"/>
    </xf>
    <xf numFmtId="2" fontId="10" fillId="0" borderId="43" xfId="0" applyNumberFormat="1" applyFont="1" applyBorder="1" applyAlignment="1">
      <alignment horizontal="center" vertical="center"/>
    </xf>
    <xf numFmtId="2" fontId="10" fillId="0" borderId="42" xfId="0" applyNumberFormat="1" applyFont="1" applyBorder="1" applyAlignment="1">
      <alignment horizontal="center" vertical="center"/>
    </xf>
    <xf numFmtId="2" fontId="10" fillId="0" borderId="33" xfId="0" applyNumberFormat="1" applyFont="1" applyBorder="1" applyAlignment="1">
      <alignment horizontal="center" vertical="center"/>
    </xf>
    <xf numFmtId="2" fontId="10" fillId="0" borderId="37" xfId="0" applyNumberFormat="1" applyFont="1" applyBorder="1" applyAlignment="1">
      <alignment horizontal="center" vertical="center"/>
    </xf>
    <xf numFmtId="2" fontId="10" fillId="0" borderId="41" xfId="0" applyNumberFormat="1" applyFont="1" applyBorder="1" applyAlignment="1">
      <alignment horizontal="center" vertical="center"/>
    </xf>
    <xf numFmtId="2" fontId="10" fillId="0" borderId="36" xfId="0" applyNumberFormat="1" applyFont="1" applyBorder="1" applyAlignment="1">
      <alignment horizontal="center" vertical="center"/>
    </xf>
    <xf numFmtId="0" fontId="20" fillId="0" borderId="9" xfId="0" applyFont="1" applyBorder="1" applyAlignment="1"/>
    <xf numFmtId="0" fontId="20" fillId="0" borderId="0" xfId="0" applyFont="1" applyBorder="1" applyAlignment="1"/>
    <xf numFmtId="0" fontId="27" fillId="13" borderId="40" xfId="0" applyFont="1" applyFill="1" applyBorder="1" applyAlignment="1" applyProtection="1">
      <alignment horizontal="left" vertical="center"/>
      <protection hidden="1"/>
    </xf>
    <xf numFmtId="0" fontId="26" fillId="0" borderId="0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/>
    <xf numFmtId="0" fontId="27" fillId="0" borderId="0" xfId="0" applyFont="1" applyFill="1" applyBorder="1" applyAlignment="1" applyProtection="1">
      <alignment horizontal="left" vertical="center"/>
      <protection hidden="1"/>
    </xf>
    <xf numFmtId="0" fontId="29" fillId="0" borderId="0" xfId="0" applyFont="1" applyFill="1" applyBorder="1" applyAlignment="1" applyProtection="1">
      <alignment horizontal="centerContinuous" vertical="center"/>
      <protection hidden="1"/>
    </xf>
    <xf numFmtId="0" fontId="28" fillId="0" borderId="0" xfId="1" applyFont="1" applyFill="1" applyBorder="1" applyAlignment="1" applyProtection="1">
      <alignment horizontal="center" vertical="center"/>
      <protection hidden="1"/>
    </xf>
    <xf numFmtId="0" fontId="24" fillId="0" borderId="0" xfId="0" applyFont="1" applyFill="1" applyBorder="1"/>
    <xf numFmtId="0" fontId="4" fillId="11" borderId="1" xfId="0" applyFont="1" applyFill="1" applyBorder="1" applyAlignment="1">
      <alignment horizontal="center"/>
    </xf>
    <xf numFmtId="2" fontId="30" fillId="8" borderId="1" xfId="0" applyNumberFormat="1" applyFont="1" applyFill="1" applyBorder="1" applyAlignment="1">
      <alignment horizontal="center"/>
    </xf>
    <xf numFmtId="165" fontId="30" fillId="8" borderId="1" xfId="0" applyNumberFormat="1" applyFont="1" applyFill="1" applyBorder="1" applyAlignment="1">
      <alignment horizontal="center"/>
    </xf>
    <xf numFmtId="2" fontId="30" fillId="12" borderId="1" xfId="0" applyNumberFormat="1" applyFont="1" applyFill="1" applyBorder="1" applyAlignment="1">
      <alignment horizontal="center"/>
    </xf>
    <xf numFmtId="49" fontId="7" fillId="0" borderId="0" xfId="0" applyNumberFormat="1" applyFont="1" applyAlignment="1" applyProtection="1">
      <alignment vertical="center"/>
    </xf>
    <xf numFmtId="0" fontId="7" fillId="0" borderId="0" xfId="0" applyFont="1" applyProtection="1"/>
    <xf numFmtId="0" fontId="8" fillId="11" borderId="1" xfId="0" applyFont="1" applyFill="1" applyBorder="1" applyAlignment="1" applyProtection="1">
      <alignment horizontal="center"/>
    </xf>
    <xf numFmtId="2" fontId="34" fillId="12" borderId="1" xfId="0" applyNumberFormat="1" applyFont="1" applyFill="1" applyBorder="1" applyAlignment="1" applyProtection="1">
      <alignment horizontal="center"/>
    </xf>
    <xf numFmtId="0" fontId="15" fillId="0" borderId="0" xfId="0" applyFont="1" applyProtection="1"/>
    <xf numFmtId="0" fontId="35" fillId="13" borderId="36" xfId="0" applyFont="1" applyFill="1" applyBorder="1" applyAlignment="1" applyProtection="1">
      <alignment horizontal="left" vertical="center"/>
      <protection hidden="1"/>
    </xf>
    <xf numFmtId="0" fontId="36" fillId="13" borderId="35" xfId="1" applyFont="1" applyFill="1" applyBorder="1" applyAlignment="1" applyProtection="1">
      <alignment horizontal="center" vertical="center"/>
      <protection hidden="1"/>
    </xf>
    <xf numFmtId="0" fontId="35" fillId="13" borderId="35" xfId="0" applyFont="1" applyFill="1" applyBorder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center"/>
    </xf>
    <xf numFmtId="0" fontId="15" fillId="0" borderId="0" xfId="0" applyFont="1" applyBorder="1" applyProtection="1"/>
    <xf numFmtId="165" fontId="34" fillId="12" borderId="1" xfId="0" applyNumberFormat="1" applyFont="1" applyFill="1" applyBorder="1" applyAlignment="1" applyProtection="1">
      <alignment horizontal="center"/>
    </xf>
    <xf numFmtId="0" fontId="4" fillId="4" borderId="1" xfId="0" applyFont="1" applyFill="1" applyBorder="1" applyAlignment="1" applyProtection="1">
      <alignment horizontal="center"/>
    </xf>
    <xf numFmtId="2" fontId="4" fillId="0" borderId="1" xfId="0" applyNumberFormat="1" applyFont="1" applyBorder="1" applyAlignment="1" applyProtection="1">
      <alignment horizontal="center"/>
    </xf>
    <xf numFmtId="10" fontId="7" fillId="0" borderId="0" xfId="0" applyNumberFormat="1" applyFont="1" applyProtection="1"/>
    <xf numFmtId="0" fontId="7" fillId="0" borderId="0" xfId="0" applyFont="1" applyBorder="1" applyAlignment="1" applyProtection="1"/>
    <xf numFmtId="0" fontId="6" fillId="4" borderId="1" xfId="0" applyFont="1" applyFill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/>
    </xf>
    <xf numFmtId="0" fontId="7" fillId="0" borderId="0" xfId="0" applyFont="1" applyBorder="1" applyProtection="1"/>
    <xf numFmtId="0" fontId="6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horizontal="center" vertical="center"/>
    </xf>
    <xf numFmtId="2" fontId="10" fillId="0" borderId="1" xfId="0" applyNumberFormat="1" applyFont="1" applyFill="1" applyBorder="1" applyAlignment="1" applyProtection="1">
      <alignment horizontal="center" vertical="center"/>
    </xf>
    <xf numFmtId="2" fontId="10" fillId="0" borderId="0" xfId="0" applyNumberFormat="1" applyFont="1" applyFill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164" fontId="7" fillId="0" borderId="0" xfId="0" applyNumberFormat="1" applyFont="1" applyProtection="1"/>
    <xf numFmtId="0" fontId="4" fillId="0" borderId="22" xfId="0" applyFont="1" applyBorder="1" applyAlignment="1" applyProtection="1">
      <alignment horizontal="center" vertical="center"/>
    </xf>
    <xf numFmtId="0" fontId="4" fillId="0" borderId="23" xfId="0" applyFont="1" applyBorder="1" applyAlignment="1" applyProtection="1">
      <alignment horizontal="center" vertical="center"/>
    </xf>
    <xf numFmtId="9" fontId="7" fillId="0" borderId="22" xfId="0" applyNumberFormat="1" applyFont="1" applyBorder="1" applyAlignment="1" applyProtection="1">
      <alignment horizontal="center" vertical="center"/>
    </xf>
    <xf numFmtId="9" fontId="7" fillId="0" borderId="1" xfId="0" applyNumberFormat="1" applyFont="1" applyBorder="1" applyAlignment="1" applyProtection="1">
      <alignment horizontal="center" vertical="center"/>
    </xf>
    <xf numFmtId="9" fontId="7" fillId="0" borderId="23" xfId="0" applyNumberFormat="1" applyFont="1" applyBorder="1" applyAlignment="1" applyProtection="1">
      <alignment horizontal="center" vertical="center"/>
    </xf>
    <xf numFmtId="9" fontId="20" fillId="9" borderId="13" xfId="0" applyNumberFormat="1" applyFont="1" applyFill="1" applyBorder="1" applyAlignment="1" applyProtection="1">
      <alignment horizontal="center"/>
    </xf>
    <xf numFmtId="0" fontId="4" fillId="0" borderId="0" xfId="0" applyFont="1" applyProtection="1"/>
    <xf numFmtId="0" fontId="7" fillId="0" borderId="1" xfId="0" applyFont="1" applyBorder="1" applyAlignment="1" applyProtection="1">
      <alignment horizontal="center" vertical="center"/>
    </xf>
    <xf numFmtId="0" fontId="7" fillId="3" borderId="1" xfId="0" applyFont="1" applyFill="1" applyBorder="1" applyAlignment="1" applyProtection="1">
      <alignment horizontal="center" vertical="center"/>
    </xf>
    <xf numFmtId="0" fontId="7" fillId="6" borderId="1" xfId="0" applyFont="1" applyFill="1" applyBorder="1" applyAlignment="1" applyProtection="1">
      <alignment horizontal="center" vertical="center"/>
    </xf>
    <xf numFmtId="0" fontId="6" fillId="2" borderId="1" xfId="0" applyFont="1" applyFill="1" applyBorder="1" applyProtection="1"/>
    <xf numFmtId="0" fontId="7" fillId="3" borderId="3" xfId="0" applyFont="1" applyFill="1" applyBorder="1" applyAlignment="1" applyProtection="1">
      <alignment vertical="center"/>
    </xf>
    <xf numFmtId="0" fontId="7" fillId="3" borderId="4" xfId="0" applyFont="1" applyFill="1" applyBorder="1" applyAlignment="1" applyProtection="1">
      <alignment vertical="center"/>
    </xf>
    <xf numFmtId="0" fontId="7" fillId="3" borderId="5" xfId="0" applyFont="1" applyFill="1" applyBorder="1" applyAlignment="1" applyProtection="1">
      <alignment vertical="center"/>
    </xf>
    <xf numFmtId="0" fontId="21" fillId="0" borderId="1" xfId="0" applyFont="1" applyBorder="1" applyProtection="1"/>
    <xf numFmtId="0" fontId="22" fillId="0" borderId="0" xfId="0" applyFont="1" applyProtection="1"/>
    <xf numFmtId="0" fontId="4" fillId="0" borderId="20" xfId="0" applyFont="1" applyBorder="1" applyAlignment="1" applyProtection="1">
      <alignment horizontal="center" vertical="center"/>
    </xf>
    <xf numFmtId="0" fontId="4" fillId="4" borderId="20" xfId="0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vertical="center"/>
    </xf>
    <xf numFmtId="164" fontId="4" fillId="0" borderId="1" xfId="0" applyNumberFormat="1" applyFont="1" applyBorder="1" applyAlignment="1" applyProtection="1">
      <alignment horizontal="center" vertical="center"/>
    </xf>
    <xf numFmtId="0" fontId="10" fillId="0" borderId="0" xfId="0" applyFont="1"/>
    <xf numFmtId="0" fontId="13" fillId="0" borderId="1" xfId="0" applyFont="1" applyBorder="1" applyAlignment="1">
      <alignment horizontal="center" vertical="center"/>
    </xf>
    <xf numFmtId="2" fontId="13" fillId="0" borderId="1" xfId="0" applyNumberFormat="1" applyFont="1" applyBorder="1" applyAlignment="1">
      <alignment horizontal="center" vertical="center"/>
    </xf>
    <xf numFmtId="164" fontId="13" fillId="0" borderId="1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49" fontId="13" fillId="10" borderId="31" xfId="0" applyNumberFormat="1" applyFont="1" applyFill="1" applyBorder="1" applyAlignment="1">
      <alignment horizontal="center" vertical="center"/>
    </xf>
    <xf numFmtId="0" fontId="15" fillId="0" borderId="2" xfId="0" applyFont="1" applyBorder="1" applyAlignment="1" applyProtection="1"/>
    <xf numFmtId="0" fontId="15" fillId="0" borderId="8" xfId="0" applyFont="1" applyBorder="1" applyAlignment="1" applyProtection="1"/>
    <xf numFmtId="0" fontId="15" fillId="0" borderId="10" xfId="0" applyFont="1" applyBorder="1" applyAlignment="1" applyProtection="1"/>
    <xf numFmtId="2" fontId="4" fillId="0" borderId="31" xfId="0" applyNumberFormat="1" applyFont="1" applyBorder="1" applyAlignment="1" applyProtection="1">
      <alignment horizontal="center" vertical="center"/>
      <protection locked="0"/>
    </xf>
    <xf numFmtId="164" fontId="4" fillId="0" borderId="1" xfId="0" applyNumberFormat="1" applyFont="1" applyBorder="1" applyAlignment="1" applyProtection="1">
      <alignment horizontal="center"/>
    </xf>
    <xf numFmtId="165" fontId="7" fillId="0" borderId="0" xfId="0" applyNumberFormat="1" applyFont="1" applyAlignment="1" applyProtection="1">
      <alignment horizontal="center"/>
    </xf>
    <xf numFmtId="0" fontId="4" fillId="4" borderId="1" xfId="0" applyFont="1" applyFill="1" applyBorder="1" applyAlignment="1" applyProtection="1">
      <alignment horizontal="center" vertical="center"/>
    </xf>
    <xf numFmtId="49" fontId="12" fillId="11" borderId="31" xfId="0" applyNumberFormat="1" applyFont="1" applyFill="1" applyBorder="1" applyAlignment="1">
      <alignment horizontal="center" vertical="center"/>
    </xf>
    <xf numFmtId="2" fontId="33" fillId="12" borderId="31" xfId="0" applyNumberFormat="1" applyFont="1" applyFill="1" applyBorder="1" applyAlignment="1" applyProtection="1">
      <alignment horizontal="center" vertical="center"/>
      <protection locked="0"/>
    </xf>
    <xf numFmtId="0" fontId="8" fillId="0" borderId="31" xfId="0" applyFont="1" applyBorder="1" applyAlignment="1" applyProtection="1">
      <alignment horizontal="center" vertical="center"/>
      <protection locked="0"/>
    </xf>
    <xf numFmtId="49" fontId="33" fillId="12" borderId="31" xfId="0" applyNumberFormat="1" applyFont="1" applyFill="1" applyBorder="1" applyAlignment="1" applyProtection="1">
      <alignment horizontal="center" vertical="center"/>
      <protection locked="0"/>
    </xf>
    <xf numFmtId="2" fontId="8" fillId="0" borderId="31" xfId="0" applyNumberFormat="1" applyFont="1" applyBorder="1" applyAlignment="1" applyProtection="1">
      <alignment horizontal="center" vertical="center"/>
      <protection locked="0"/>
    </xf>
    <xf numFmtId="49" fontId="33" fillId="12" borderId="43" xfId="0" applyNumberFormat="1" applyFont="1" applyFill="1" applyBorder="1" applyAlignment="1" applyProtection="1">
      <alignment horizontal="center" vertical="center"/>
      <protection locked="0"/>
    </xf>
    <xf numFmtId="49" fontId="13" fillId="12" borderId="31" xfId="0" applyNumberFormat="1" applyFont="1" applyFill="1" applyBorder="1" applyAlignment="1">
      <alignment horizontal="center" vertical="center"/>
    </xf>
    <xf numFmtId="0" fontId="4" fillId="10" borderId="1" xfId="0" applyFont="1" applyFill="1" applyBorder="1" applyAlignment="1" applyProtection="1">
      <alignment horizontal="center" vertical="center"/>
    </xf>
    <xf numFmtId="2" fontId="13" fillId="0" borderId="20" xfId="0" applyNumberFormat="1" applyFont="1" applyBorder="1" applyAlignment="1">
      <alignment horizontal="center" vertical="center" wrapText="1"/>
    </xf>
    <xf numFmtId="0" fontId="13" fillId="11" borderId="31" xfId="0" applyFont="1" applyFill="1" applyBorder="1" applyAlignment="1">
      <alignment horizontal="center" vertical="center"/>
    </xf>
    <xf numFmtId="1" fontId="4" fillId="0" borderId="31" xfId="0" applyNumberFormat="1" applyFont="1" applyBorder="1" applyAlignment="1" applyProtection="1">
      <alignment horizontal="center" vertical="center"/>
      <protection locked="0"/>
    </xf>
    <xf numFmtId="164" fontId="4" fillId="0" borderId="34" xfId="0" applyNumberFormat="1" applyFont="1" applyBorder="1" applyAlignment="1" applyProtection="1">
      <alignment horizontal="center" vertical="center"/>
      <protection locked="0"/>
    </xf>
    <xf numFmtId="0" fontId="44" fillId="12" borderId="31" xfId="0" applyNumberFormat="1" applyFont="1" applyFill="1" applyBorder="1" applyAlignment="1">
      <alignment horizontal="center" vertical="center"/>
    </xf>
    <xf numFmtId="2" fontId="13" fillId="0" borderId="21" xfId="0" applyNumberFormat="1" applyFont="1" applyBorder="1" applyAlignment="1">
      <alignment horizontal="center" vertical="center"/>
    </xf>
    <xf numFmtId="0" fontId="6" fillId="16" borderId="7" xfId="0" applyFont="1" applyFill="1" applyBorder="1" applyAlignment="1">
      <alignment horizontal="center" vertical="top" wrapText="1"/>
    </xf>
    <xf numFmtId="0" fontId="6" fillId="16" borderId="2" xfId="0" applyFont="1" applyFill="1" applyBorder="1" applyAlignment="1">
      <alignment horizontal="center" vertical="top" wrapText="1"/>
    </xf>
    <xf numFmtId="0" fontId="6" fillId="16" borderId="8" xfId="0" applyFont="1" applyFill="1" applyBorder="1" applyAlignment="1">
      <alignment horizontal="center" vertical="top" wrapText="1"/>
    </xf>
    <xf numFmtId="0" fontId="6" fillId="16" borderId="9" xfId="0" applyFont="1" applyFill="1" applyBorder="1" applyAlignment="1">
      <alignment horizontal="center" vertical="top" wrapText="1"/>
    </xf>
    <xf numFmtId="0" fontId="6" fillId="16" borderId="0" xfId="0" applyFont="1" applyFill="1" applyBorder="1" applyAlignment="1">
      <alignment horizontal="center" vertical="top" wrapText="1"/>
    </xf>
    <xf numFmtId="0" fontId="6" fillId="16" borderId="10" xfId="0" applyFont="1" applyFill="1" applyBorder="1" applyAlignment="1">
      <alignment horizontal="center" vertical="top" wrapText="1"/>
    </xf>
    <xf numFmtId="0" fontId="6" fillId="16" borderId="11" xfId="0" applyFont="1" applyFill="1" applyBorder="1" applyAlignment="1">
      <alignment horizontal="center" vertical="top" wrapText="1"/>
    </xf>
    <xf numFmtId="0" fontId="6" fillId="16" borderId="6" xfId="0" applyFont="1" applyFill="1" applyBorder="1" applyAlignment="1">
      <alignment horizontal="center" vertical="top" wrapText="1"/>
    </xf>
    <xf numFmtId="0" fontId="6" fillId="16" borderId="12" xfId="0" applyFont="1" applyFill="1" applyBorder="1" applyAlignment="1">
      <alignment horizontal="center" vertical="top" wrapText="1"/>
    </xf>
    <xf numFmtId="2" fontId="25" fillId="0" borderId="1" xfId="0" applyNumberFormat="1" applyFont="1" applyBorder="1" applyAlignment="1">
      <alignment horizontal="center" vertical="center"/>
    </xf>
    <xf numFmtId="0" fontId="46" fillId="13" borderId="35" xfId="0" applyFont="1" applyFill="1" applyBorder="1"/>
    <xf numFmtId="0" fontId="29" fillId="13" borderId="35" xfId="0" applyFont="1" applyFill="1" applyBorder="1" applyAlignment="1" applyProtection="1">
      <alignment vertical="center"/>
      <protection hidden="1"/>
    </xf>
    <xf numFmtId="0" fontId="29" fillId="13" borderId="40" xfId="0" applyFont="1" applyFill="1" applyBorder="1" applyAlignment="1" applyProtection="1">
      <alignment vertical="center"/>
      <protection hidden="1"/>
    </xf>
    <xf numFmtId="0" fontId="7" fillId="0" borderId="37" xfId="0" applyFont="1" applyBorder="1"/>
    <xf numFmtId="0" fontId="7" fillId="0" borderId="39" xfId="0" applyFont="1" applyBorder="1"/>
    <xf numFmtId="0" fontId="7" fillId="0" borderId="41" xfId="0" applyFont="1" applyBorder="1"/>
    <xf numFmtId="0" fontId="7" fillId="0" borderId="47" xfId="0" applyFont="1" applyBorder="1"/>
    <xf numFmtId="0" fontId="7" fillId="0" borderId="36" xfId="0" applyFont="1" applyBorder="1"/>
    <xf numFmtId="0" fontId="7" fillId="0" borderId="40" xfId="0" applyFont="1" applyBorder="1"/>
    <xf numFmtId="0" fontId="7" fillId="10" borderId="31" xfId="0" applyFont="1" applyFill="1" applyBorder="1"/>
    <xf numFmtId="1" fontId="32" fillId="11" borderId="31" xfId="0" applyNumberFormat="1" applyFont="1" applyFill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2" fontId="13" fillId="14" borderId="31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2" fontId="33" fillId="11" borderId="31" xfId="0" applyNumberFormat="1" applyFont="1" applyFill="1" applyBorder="1" applyAlignment="1" applyProtection="1">
      <alignment horizontal="center" vertical="center"/>
    </xf>
    <xf numFmtId="164" fontId="8" fillId="0" borderId="31" xfId="0" applyNumberFormat="1" applyFont="1" applyBorder="1" applyAlignment="1" applyProtection="1">
      <alignment horizontal="center" vertical="center"/>
      <protection locked="0"/>
    </xf>
    <xf numFmtId="0" fontId="0" fillId="0" borderId="0" xfId="0"/>
    <xf numFmtId="2" fontId="0" fillId="0" borderId="0" xfId="0" applyNumberFormat="1"/>
    <xf numFmtId="2" fontId="4" fillId="7" borderId="1" xfId="0" applyNumberFormat="1" applyFont="1" applyFill="1" applyBorder="1" applyAlignment="1">
      <alignment horizontal="center" vertical="center"/>
    </xf>
    <xf numFmtId="2" fontId="48" fillId="0" borderId="31" xfId="0" applyNumberFormat="1" applyFont="1" applyBorder="1" applyAlignment="1">
      <alignment horizontal="center" vertical="center"/>
    </xf>
    <xf numFmtId="2" fontId="49" fillId="0" borderId="44" xfId="0" applyNumberFormat="1" applyFont="1" applyBorder="1" applyAlignment="1">
      <alignment horizontal="center" vertical="center"/>
    </xf>
    <xf numFmtId="2" fontId="48" fillId="12" borderId="31" xfId="0" applyNumberFormat="1" applyFont="1" applyFill="1" applyBorder="1" applyAlignment="1">
      <alignment horizontal="center" vertical="center"/>
    </xf>
    <xf numFmtId="0" fontId="10" fillId="0" borderId="31" xfId="0" applyNumberFormat="1" applyFont="1" applyBorder="1" applyAlignment="1">
      <alignment horizontal="center" vertical="center"/>
    </xf>
    <xf numFmtId="2" fontId="48" fillId="8" borderId="31" xfId="0" applyNumberFormat="1" applyFont="1" applyFill="1" applyBorder="1" applyAlignment="1">
      <alignment horizontal="center" vertical="center"/>
    </xf>
    <xf numFmtId="49" fontId="13" fillId="10" borderId="42" xfId="0" applyNumberFormat="1" applyFont="1" applyFill="1" applyBorder="1" applyAlignment="1">
      <alignment horizontal="center" vertical="center"/>
    </xf>
    <xf numFmtId="0" fontId="50" fillId="15" borderId="13" xfId="0" applyFont="1" applyFill="1" applyBorder="1" applyAlignment="1">
      <alignment horizontal="center" vertical="center"/>
    </xf>
    <xf numFmtId="2" fontId="18" fillId="8" borderId="31" xfId="0" applyNumberFormat="1" applyFont="1" applyFill="1" applyBorder="1" applyAlignment="1">
      <alignment horizontal="center" vertical="center"/>
    </xf>
    <xf numFmtId="11" fontId="53" fillId="0" borderId="32" xfId="0" applyNumberFormat="1" applyFont="1" applyFill="1" applyBorder="1" applyAlignment="1">
      <alignment horizontal="center" vertical="center"/>
    </xf>
    <xf numFmtId="2" fontId="18" fillId="0" borderId="31" xfId="0" applyNumberFormat="1" applyFont="1" applyBorder="1" applyAlignment="1">
      <alignment horizontal="center" vertical="center"/>
    </xf>
    <xf numFmtId="2" fontId="54" fillId="14" borderId="31" xfId="0" applyNumberFormat="1" applyFont="1" applyFill="1" applyBorder="1" applyAlignment="1">
      <alignment horizontal="center" vertical="center"/>
    </xf>
    <xf numFmtId="0" fontId="13" fillId="11" borderId="31" xfId="0" applyFont="1" applyFill="1" applyBorder="1" applyAlignment="1">
      <alignment horizontal="center" vertical="center"/>
    </xf>
    <xf numFmtId="2" fontId="4" fillId="0" borderId="31" xfId="0" applyNumberFormat="1" applyFont="1" applyBorder="1" applyAlignment="1" applyProtection="1">
      <alignment horizontal="center" vertical="center"/>
      <protection locked="0"/>
    </xf>
    <xf numFmtId="0" fontId="4" fillId="0" borderId="31" xfId="0" applyFont="1" applyBorder="1" applyAlignment="1" applyProtection="1">
      <alignment horizontal="center" vertical="center"/>
      <protection locked="0"/>
    </xf>
    <xf numFmtId="1" fontId="4" fillId="0" borderId="31" xfId="0" applyNumberFormat="1" applyFont="1" applyBorder="1" applyAlignment="1" applyProtection="1">
      <alignment horizontal="center" vertical="center"/>
      <protection locked="0"/>
    </xf>
    <xf numFmtId="0" fontId="7" fillId="0" borderId="14" xfId="0" applyFont="1" applyBorder="1"/>
    <xf numFmtId="0" fontId="7" fillId="0" borderId="15" xfId="0" applyFont="1" applyBorder="1"/>
    <xf numFmtId="0" fontId="7" fillId="0" borderId="16" xfId="0" applyFont="1" applyBorder="1"/>
    <xf numFmtId="0" fontId="7" fillId="0" borderId="45" xfId="0" applyFont="1" applyBorder="1"/>
    <xf numFmtId="0" fontId="7" fillId="0" borderId="46" xfId="0" applyFont="1" applyBorder="1"/>
    <xf numFmtId="0" fontId="7" fillId="0" borderId="17" xfId="0" applyFont="1" applyBorder="1"/>
    <xf numFmtId="0" fontId="7" fillId="0" borderId="18" xfId="0" applyFont="1" applyBorder="1"/>
    <xf numFmtId="0" fontId="7" fillId="0" borderId="19" xfId="0" applyFont="1" applyBorder="1"/>
    <xf numFmtId="0" fontId="13" fillId="11" borderId="32" xfId="0" applyFont="1" applyFill="1" applyBorder="1" applyAlignment="1">
      <alignment horizontal="center" vertical="center"/>
    </xf>
    <xf numFmtId="2" fontId="4" fillId="0" borderId="32" xfId="0" applyNumberFormat="1" applyFont="1" applyBorder="1" applyAlignment="1" applyProtection="1">
      <alignment horizontal="center" vertical="center"/>
      <protection locked="0"/>
    </xf>
    <xf numFmtId="0" fontId="45" fillId="0" borderId="45" xfId="0" applyFont="1" applyBorder="1"/>
    <xf numFmtId="0" fontId="54" fillId="14" borderId="1" xfId="0" applyFont="1" applyFill="1" applyBorder="1" applyAlignment="1">
      <alignment horizontal="center" vertical="center"/>
    </xf>
    <xf numFmtId="0" fontId="24" fillId="13" borderId="35" xfId="0" applyFont="1" applyFill="1" applyBorder="1" applyAlignment="1" applyProtection="1">
      <alignment horizontal="center" vertical="center"/>
    </xf>
    <xf numFmtId="0" fontId="13" fillId="11" borderId="31" xfId="0" applyFont="1" applyFill="1" applyBorder="1" applyAlignment="1">
      <alignment horizontal="center" vertical="center"/>
    </xf>
    <xf numFmtId="0" fontId="13" fillId="0" borderId="0" xfId="0" applyFont="1" applyFill="1" applyBorder="1" applyAlignment="1"/>
    <xf numFmtId="2" fontId="57" fillId="12" borderId="31" xfId="0" applyNumberFormat="1" applyFont="1" applyFill="1" applyBorder="1" applyAlignment="1">
      <alignment horizontal="center" vertical="center"/>
    </xf>
    <xf numFmtId="167" fontId="10" fillId="0" borderId="31" xfId="0" applyNumberFormat="1" applyFont="1" applyBorder="1" applyAlignment="1">
      <alignment horizontal="center" vertical="center"/>
    </xf>
    <xf numFmtId="10" fontId="48" fillId="12" borderId="31" xfId="2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 applyProtection="1">
      <alignment horizontal="center"/>
    </xf>
    <xf numFmtId="2" fontId="58" fillId="0" borderId="1" xfId="0" applyNumberFormat="1" applyFont="1" applyBorder="1" applyAlignment="1" applyProtection="1">
      <alignment horizontal="center"/>
    </xf>
    <xf numFmtId="164" fontId="10" fillId="0" borderId="31" xfId="0" applyNumberFormat="1" applyFont="1" applyBorder="1" applyAlignment="1">
      <alignment horizontal="center" vertical="center"/>
    </xf>
    <xf numFmtId="2" fontId="10" fillId="8" borderId="31" xfId="0" applyNumberFormat="1" applyFont="1" applyFill="1" applyBorder="1" applyAlignment="1">
      <alignment horizontal="center" vertical="center"/>
    </xf>
    <xf numFmtId="0" fontId="59" fillId="0" borderId="0" xfId="0" applyFont="1" applyAlignment="1">
      <alignment horizontal="center"/>
    </xf>
    <xf numFmtId="165" fontId="10" fillId="19" borderId="31" xfId="0" applyNumberFormat="1" applyFont="1" applyFill="1" applyBorder="1" applyAlignment="1">
      <alignment horizontal="center" vertical="center"/>
    </xf>
    <xf numFmtId="2" fontId="60" fillId="12" borderId="31" xfId="0" applyNumberFormat="1" applyFont="1" applyFill="1" applyBorder="1" applyAlignment="1">
      <alignment horizontal="center" vertical="center"/>
    </xf>
    <xf numFmtId="0" fontId="61" fillId="4" borderId="1" xfId="0" applyFont="1" applyFill="1" applyBorder="1" applyAlignment="1">
      <alignment horizontal="center"/>
    </xf>
    <xf numFmtId="0" fontId="15" fillId="0" borderId="0" xfId="0" applyFont="1" applyBorder="1" applyAlignment="1" applyProtection="1"/>
    <xf numFmtId="0" fontId="15" fillId="0" borderId="17" xfId="0" applyFont="1" applyBorder="1" applyProtection="1"/>
    <xf numFmtId="0" fontId="15" fillId="0" borderId="18" xfId="0" applyFont="1" applyBorder="1" applyProtection="1"/>
    <xf numFmtId="0" fontId="15" fillId="0" borderId="19" xfId="0" applyFont="1" applyBorder="1" applyProtection="1"/>
    <xf numFmtId="0" fontId="15" fillId="0" borderId="2" xfId="0" applyFont="1" applyBorder="1"/>
    <xf numFmtId="0" fontId="15" fillId="0" borderId="8" xfId="0" applyFont="1" applyBorder="1"/>
    <xf numFmtId="0" fontId="15" fillId="0" borderId="9" xfId="0" applyFont="1" applyBorder="1"/>
    <xf numFmtId="0" fontId="15" fillId="0" borderId="10" xfId="0" applyFont="1" applyBorder="1"/>
    <xf numFmtId="0" fontId="15" fillId="0" borderId="6" xfId="0" applyFont="1" applyBorder="1"/>
    <xf numFmtId="2" fontId="11" fillId="0" borderId="6" xfId="0" applyNumberFormat="1" applyFont="1" applyFill="1" applyBorder="1" applyAlignment="1">
      <alignment horizontal="center" vertical="center"/>
    </xf>
    <xf numFmtId="0" fontId="15" fillId="0" borderId="12" xfId="0" applyFont="1" applyBorder="1"/>
    <xf numFmtId="2" fontId="62" fillId="0" borderId="1" xfId="0" applyNumberFormat="1" applyFont="1" applyFill="1" applyBorder="1" applyAlignment="1">
      <alignment horizontal="center" vertical="center"/>
    </xf>
    <xf numFmtId="0" fontId="15" fillId="0" borderId="45" xfId="0" applyFont="1" applyBorder="1" applyProtection="1"/>
    <xf numFmtId="0" fontId="15" fillId="0" borderId="46" xfId="0" applyFont="1" applyBorder="1" applyProtection="1"/>
    <xf numFmtId="0" fontId="6" fillId="0" borderId="48" xfId="0" applyFont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165" fontId="21" fillId="0" borderId="3" xfId="0" applyNumberFormat="1" applyFont="1" applyFill="1" applyBorder="1" applyAlignment="1">
      <alignment horizontal="center"/>
    </xf>
    <xf numFmtId="0" fontId="9" fillId="20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</xf>
    <xf numFmtId="0" fontId="15" fillId="0" borderId="14" xfId="0" applyFont="1" applyBorder="1" applyAlignment="1" applyProtection="1">
      <alignment horizontal="center"/>
    </xf>
    <xf numFmtId="0" fontId="15" fillId="0" borderId="15" xfId="0" applyFont="1" applyBorder="1" applyAlignment="1" applyProtection="1">
      <alignment horizontal="center"/>
    </xf>
    <xf numFmtId="0" fontId="15" fillId="0" borderId="16" xfId="0" applyFont="1" applyBorder="1" applyAlignment="1" applyProtection="1">
      <alignment horizontal="center"/>
    </xf>
    <xf numFmtId="0" fontId="15" fillId="0" borderId="45" xfId="0" applyFont="1" applyBorder="1" applyAlignment="1" applyProtection="1">
      <alignment horizontal="center"/>
    </xf>
    <xf numFmtId="0" fontId="15" fillId="0" borderId="0" xfId="0" applyFont="1" applyBorder="1" applyAlignment="1" applyProtection="1">
      <alignment horizontal="center"/>
    </xf>
    <xf numFmtId="0" fontId="15" fillId="0" borderId="46" xfId="0" applyFont="1" applyBorder="1" applyAlignment="1" applyProtection="1">
      <alignment horizontal="center"/>
    </xf>
    <xf numFmtId="0" fontId="15" fillId="0" borderId="17" xfId="0" applyFont="1" applyBorder="1" applyAlignment="1" applyProtection="1">
      <alignment horizontal="center"/>
    </xf>
    <xf numFmtId="0" fontId="15" fillId="0" borderId="18" xfId="0" applyFont="1" applyBorder="1" applyAlignment="1" applyProtection="1">
      <alignment horizontal="center"/>
    </xf>
    <xf numFmtId="0" fontId="15" fillId="0" borderId="19" xfId="0" applyFont="1" applyBorder="1" applyAlignment="1" applyProtection="1">
      <alignment horizontal="center"/>
    </xf>
    <xf numFmtId="0" fontId="39" fillId="13" borderId="37" xfId="0" applyFont="1" applyFill="1" applyBorder="1" applyAlignment="1" applyProtection="1">
      <alignment horizontal="center" vertical="center"/>
      <protection hidden="1"/>
    </xf>
    <xf numFmtId="0" fontId="39" fillId="13" borderId="38" xfId="0" applyFont="1" applyFill="1" applyBorder="1" applyAlignment="1" applyProtection="1">
      <alignment horizontal="center" vertical="center"/>
      <protection hidden="1"/>
    </xf>
    <xf numFmtId="0" fontId="39" fillId="13" borderId="39" xfId="0" applyFont="1" applyFill="1" applyBorder="1" applyAlignment="1" applyProtection="1">
      <alignment horizontal="center" vertical="center"/>
      <protection hidden="1"/>
    </xf>
    <xf numFmtId="0" fontId="37" fillId="13" borderId="35" xfId="0" applyFont="1" applyFill="1" applyBorder="1" applyAlignment="1" applyProtection="1">
      <alignment horizontal="center" vertical="center"/>
      <protection hidden="1"/>
    </xf>
    <xf numFmtId="0" fontId="37" fillId="13" borderId="40" xfId="0" applyFont="1" applyFill="1" applyBorder="1" applyAlignment="1" applyProtection="1">
      <alignment horizontal="center" vertical="center"/>
      <protection hidden="1"/>
    </xf>
    <xf numFmtId="0" fontId="11" fillId="11" borderId="1" xfId="0" applyFont="1" applyFill="1" applyBorder="1" applyAlignment="1" applyProtection="1">
      <alignment horizontal="center" vertical="center"/>
    </xf>
    <xf numFmtId="164" fontId="34" fillId="12" borderId="1" xfId="0" applyNumberFormat="1" applyFont="1" applyFill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</xf>
    <xf numFmtId="166" fontId="4" fillId="0" borderId="1" xfId="0" applyNumberFormat="1" applyFont="1" applyBorder="1" applyAlignment="1" applyProtection="1">
      <alignment horizontal="center" vertical="center"/>
    </xf>
    <xf numFmtId="0" fontId="13" fillId="11" borderId="1" xfId="0" applyFont="1" applyFill="1" applyBorder="1" applyAlignment="1" applyProtection="1">
      <alignment horizontal="center" vertical="center"/>
    </xf>
    <xf numFmtId="0" fontId="16" fillId="5" borderId="3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5" xfId="0" applyFont="1" applyFill="1" applyBorder="1" applyAlignment="1">
      <alignment horizontal="center" vertical="center" wrapText="1"/>
    </xf>
    <xf numFmtId="0" fontId="26" fillId="13" borderId="37" xfId="0" applyFont="1" applyFill="1" applyBorder="1" applyAlignment="1" applyProtection="1">
      <alignment horizontal="center" vertical="center"/>
      <protection hidden="1"/>
    </xf>
    <xf numFmtId="0" fontId="26" fillId="13" borderId="38" xfId="0" applyFont="1" applyFill="1" applyBorder="1" applyAlignment="1" applyProtection="1">
      <alignment horizontal="center" vertical="center"/>
      <protection hidden="1"/>
    </xf>
    <xf numFmtId="0" fontId="26" fillId="13" borderId="39" xfId="0" applyFont="1" applyFill="1" applyBorder="1" applyAlignment="1" applyProtection="1">
      <alignment horizontal="center" vertical="center"/>
      <protection hidden="1"/>
    </xf>
    <xf numFmtId="0" fontId="29" fillId="13" borderId="35" xfId="0" applyFont="1" applyFill="1" applyBorder="1" applyAlignment="1" applyProtection="1">
      <alignment horizontal="center" vertical="center"/>
      <protection hidden="1"/>
    </xf>
    <xf numFmtId="0" fontId="29" fillId="13" borderId="40" xfId="0" applyFont="1" applyFill="1" applyBorder="1" applyAlignment="1" applyProtection="1">
      <alignment horizontal="center" vertical="center"/>
      <protection hidden="1"/>
    </xf>
    <xf numFmtId="0" fontId="16" fillId="5" borderId="1" xfId="0" applyFont="1" applyFill="1" applyBorder="1" applyAlignment="1">
      <alignment horizontal="left" vertical="center" wrapText="1"/>
    </xf>
    <xf numFmtId="0" fontId="16" fillId="5" borderId="4" xfId="0" applyFont="1" applyFill="1" applyBorder="1" applyAlignment="1">
      <alignment horizontal="left" vertical="center" wrapText="1"/>
    </xf>
    <xf numFmtId="0" fontId="16" fillId="5" borderId="5" xfId="0" applyFont="1" applyFill="1" applyBorder="1" applyAlignment="1">
      <alignment horizontal="left" vertical="center" wrapText="1"/>
    </xf>
    <xf numFmtId="0" fontId="9" fillId="2" borderId="3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0" fontId="13" fillId="11" borderId="31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wrapText="1"/>
    </xf>
    <xf numFmtId="0" fontId="12" fillId="11" borderId="33" xfId="0" applyFont="1" applyFill="1" applyBorder="1" applyAlignment="1">
      <alignment horizontal="center" wrapText="1"/>
    </xf>
    <xf numFmtId="0" fontId="12" fillId="11" borderId="34" xfId="0" applyFont="1" applyFill="1" applyBorder="1" applyAlignment="1">
      <alignment horizontal="center" wrapText="1"/>
    </xf>
    <xf numFmtId="0" fontId="47" fillId="13" borderId="37" xfId="0" applyFont="1" applyFill="1" applyBorder="1" applyAlignment="1" applyProtection="1">
      <alignment horizontal="center" vertical="center"/>
      <protection hidden="1"/>
    </xf>
    <xf numFmtId="0" fontId="47" fillId="13" borderId="38" xfId="0" applyFont="1" applyFill="1" applyBorder="1" applyAlignment="1" applyProtection="1">
      <alignment horizontal="center" vertical="center"/>
      <protection hidden="1"/>
    </xf>
    <xf numFmtId="0" fontId="47" fillId="13" borderId="39" xfId="0" applyFont="1" applyFill="1" applyBorder="1" applyAlignment="1" applyProtection="1">
      <alignment horizontal="center" vertical="center"/>
      <protection hidden="1"/>
    </xf>
    <xf numFmtId="49" fontId="32" fillId="11" borderId="37" xfId="0" applyNumberFormat="1" applyFont="1" applyFill="1" applyBorder="1" applyAlignment="1">
      <alignment horizontal="center" vertical="center" wrapText="1"/>
    </xf>
    <xf numFmtId="49" fontId="32" fillId="11" borderId="39" xfId="0" applyNumberFormat="1" applyFont="1" applyFill="1" applyBorder="1" applyAlignment="1">
      <alignment horizontal="center" vertical="center"/>
    </xf>
    <xf numFmtId="49" fontId="32" fillId="11" borderId="36" xfId="0" applyNumberFormat="1" applyFont="1" applyFill="1" applyBorder="1" applyAlignment="1">
      <alignment horizontal="center" vertical="center"/>
    </xf>
    <xf numFmtId="49" fontId="32" fillId="11" borderId="40" xfId="0" applyNumberFormat="1" applyFont="1" applyFill="1" applyBorder="1" applyAlignment="1">
      <alignment horizontal="center" vertical="center"/>
    </xf>
    <xf numFmtId="49" fontId="32" fillId="11" borderId="31" xfId="0" applyNumberFormat="1" applyFont="1" applyFill="1" applyBorder="1" applyAlignment="1">
      <alignment horizontal="center" vertical="center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12" fillId="11" borderId="31" xfId="0" applyFont="1" applyFill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left" vertical="center"/>
    </xf>
    <xf numFmtId="0" fontId="7" fillId="0" borderId="1" xfId="0" applyFont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 vertical="center"/>
    </xf>
    <xf numFmtId="0" fontId="4" fillId="6" borderId="5" xfId="0" applyFont="1" applyFill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/>
    </xf>
    <xf numFmtId="0" fontId="7" fillId="0" borderId="3" xfId="0" applyFont="1" applyBorder="1" applyAlignment="1" applyProtection="1">
      <alignment horizontal="center"/>
    </xf>
    <xf numFmtId="0" fontId="7" fillId="0" borderId="4" xfId="0" applyFont="1" applyBorder="1" applyAlignment="1" applyProtection="1">
      <alignment horizontal="center"/>
    </xf>
    <xf numFmtId="0" fontId="7" fillId="0" borderId="5" xfId="0" applyFont="1" applyBorder="1" applyAlignment="1" applyProtection="1">
      <alignment horizontal="center"/>
    </xf>
    <xf numFmtId="0" fontId="19" fillId="5" borderId="1" xfId="0" applyFont="1" applyFill="1" applyBorder="1" applyAlignment="1" applyProtection="1">
      <alignment horizontal="left" vertical="center" wrapText="1"/>
    </xf>
    <xf numFmtId="0" fontId="4" fillId="6" borderId="3" xfId="0" applyFont="1" applyFill="1" applyBorder="1" applyAlignment="1" applyProtection="1">
      <alignment horizontal="center"/>
    </xf>
    <xf numFmtId="0" fontId="4" fillId="6" borderId="5" xfId="0" applyFont="1" applyFill="1" applyBorder="1" applyAlignment="1" applyProtection="1">
      <alignment horizontal="center"/>
    </xf>
    <xf numFmtId="0" fontId="4" fillId="4" borderId="20" xfId="0" applyFont="1" applyFill="1" applyBorder="1" applyAlignment="1" applyProtection="1">
      <alignment horizontal="center" vertical="center"/>
    </xf>
    <xf numFmtId="2" fontId="6" fillId="15" borderId="3" xfId="0" applyNumberFormat="1" applyFont="1" applyFill="1" applyBorder="1" applyAlignment="1" applyProtection="1">
      <alignment horizontal="center" vertical="center"/>
    </xf>
    <xf numFmtId="2" fontId="6" fillId="15" borderId="5" xfId="0" applyNumberFormat="1" applyFont="1" applyFill="1" applyBorder="1" applyAlignment="1" applyProtection="1">
      <alignment horizontal="center" vertical="center"/>
    </xf>
    <xf numFmtId="0" fontId="19" fillId="15" borderId="1" xfId="0" applyFont="1" applyFill="1" applyBorder="1" applyAlignment="1" applyProtection="1">
      <alignment horizontal="center" vertical="center" wrapText="1"/>
    </xf>
    <xf numFmtId="0" fontId="4" fillId="4" borderId="3" xfId="0" applyFont="1" applyFill="1" applyBorder="1" applyAlignment="1" applyProtection="1">
      <alignment horizontal="center"/>
    </xf>
    <xf numFmtId="0" fontId="4" fillId="4" borderId="5" xfId="0" applyFont="1" applyFill="1" applyBorder="1" applyAlignment="1" applyProtection="1">
      <alignment horizontal="center"/>
    </xf>
    <xf numFmtId="49" fontId="4" fillId="0" borderId="3" xfId="0" applyNumberFormat="1" applyFont="1" applyBorder="1" applyAlignment="1" applyProtection="1">
      <alignment horizontal="center"/>
    </xf>
    <xf numFmtId="49" fontId="4" fillId="0" borderId="5" xfId="0" applyNumberFormat="1" applyFont="1" applyBorder="1" applyAlignment="1" applyProtection="1">
      <alignment horizontal="center"/>
    </xf>
    <xf numFmtId="0" fontId="19" fillId="5" borderId="4" xfId="0" applyFont="1" applyFill="1" applyBorder="1" applyAlignment="1" applyProtection="1">
      <alignment horizontal="left" vertical="center" wrapText="1"/>
    </xf>
    <xf numFmtId="0" fontId="19" fillId="5" borderId="5" xfId="0" applyFont="1" applyFill="1" applyBorder="1" applyAlignment="1" applyProtection="1">
      <alignment horizontal="left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4" fillId="6" borderId="4" xfId="0" applyFont="1" applyFill="1" applyBorder="1" applyAlignment="1" applyProtection="1">
      <alignment horizontal="center" vertical="center"/>
    </xf>
    <xf numFmtId="0" fontId="7" fillId="0" borderId="0" xfId="0" applyFont="1" applyAlignment="1" applyProtection="1">
      <alignment horizontal="center"/>
    </xf>
    <xf numFmtId="0" fontId="4" fillId="4" borderId="24" xfId="0" applyFont="1" applyFill="1" applyBorder="1" applyAlignment="1" applyProtection="1">
      <alignment horizontal="center" vertical="center"/>
    </xf>
    <xf numFmtId="0" fontId="4" fillId="4" borderId="29" xfId="0" applyFont="1" applyFill="1" applyBorder="1" applyAlignment="1" applyProtection="1">
      <alignment horizontal="center" vertical="center"/>
    </xf>
    <xf numFmtId="0" fontId="4" fillId="4" borderId="25" xfId="0" applyFont="1" applyFill="1" applyBorder="1" applyAlignment="1" applyProtection="1">
      <alignment horizontal="center" vertical="center"/>
    </xf>
    <xf numFmtId="0" fontId="7" fillId="0" borderId="26" xfId="0" applyFont="1" applyBorder="1" applyAlignment="1" applyProtection="1">
      <alignment horizontal="center"/>
    </xf>
    <xf numFmtId="0" fontId="7" fillId="0" borderId="28" xfId="0" applyFont="1" applyBorder="1" applyAlignment="1" applyProtection="1">
      <alignment horizontal="center"/>
    </xf>
    <xf numFmtId="0" fontId="7" fillId="0" borderId="27" xfId="0" applyFont="1" applyBorder="1" applyAlignment="1" applyProtection="1">
      <alignment horizontal="center"/>
    </xf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10" fillId="11" borderId="1" xfId="0" applyFont="1" applyFill="1" applyBorder="1" applyAlignment="1" applyProtection="1">
      <alignment horizontal="center" vertical="center"/>
      <protection locked="0"/>
    </xf>
    <xf numFmtId="164" fontId="30" fillId="12" borderId="1" xfId="0" applyNumberFormat="1" applyFont="1" applyFill="1" applyBorder="1" applyAlignment="1" applyProtection="1">
      <alignment horizontal="center" vertical="center"/>
      <protection locked="0"/>
    </xf>
    <xf numFmtId="164" fontId="30" fillId="12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23" fillId="10" borderId="4" xfId="0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center" vertical="center"/>
    </xf>
    <xf numFmtId="0" fontId="5" fillId="1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23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top"/>
    </xf>
    <xf numFmtId="0" fontId="23" fillId="10" borderId="1" xfId="0" applyFont="1" applyFill="1" applyBorder="1" applyAlignment="1">
      <alignment horizontal="center" vertical="top"/>
    </xf>
    <xf numFmtId="0" fontId="10" fillId="0" borderId="7" xfId="0" applyFont="1" applyBorder="1" applyAlignment="1">
      <alignment horizontal="center" vertical="top"/>
    </xf>
    <xf numFmtId="0" fontId="10" fillId="0" borderId="2" xfId="0" applyFont="1" applyBorder="1" applyAlignment="1">
      <alignment horizontal="center" vertical="top"/>
    </xf>
    <xf numFmtId="0" fontId="10" fillId="0" borderId="8" xfId="0" applyFont="1" applyBorder="1" applyAlignment="1">
      <alignment horizontal="center" vertical="top"/>
    </xf>
    <xf numFmtId="0" fontId="6" fillId="0" borderId="9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10" fillId="0" borderId="7" xfId="0" applyFont="1" applyBorder="1" applyAlignment="1">
      <alignment horizontal="center" vertical="top" wrapText="1"/>
    </xf>
    <xf numFmtId="0" fontId="10" fillId="0" borderId="2" xfId="0" applyFont="1" applyBorder="1" applyAlignment="1">
      <alignment horizontal="center" vertical="top" wrapText="1"/>
    </xf>
    <xf numFmtId="0" fontId="10" fillId="0" borderId="8" xfId="0" applyFont="1" applyBorder="1" applyAlignment="1">
      <alignment horizontal="center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6" xfId="0" applyFont="1" applyBorder="1" applyAlignment="1">
      <alignment horizontal="center" vertical="top" wrapText="1"/>
    </xf>
    <xf numFmtId="0" fontId="6" fillId="0" borderId="12" xfId="0" applyFont="1" applyBorder="1" applyAlignment="1">
      <alignment horizontal="center" vertical="top" wrapText="1"/>
    </xf>
    <xf numFmtId="0" fontId="10" fillId="10" borderId="20" xfId="0" applyFont="1" applyFill="1" applyBorder="1" applyAlignment="1">
      <alignment horizontal="center" vertical="top"/>
    </xf>
    <xf numFmtId="0" fontId="23" fillId="10" borderId="20" xfId="0" applyFont="1" applyFill="1" applyBorder="1" applyAlignment="1">
      <alignment horizontal="center" vertical="top"/>
    </xf>
    <xf numFmtId="0" fontId="10" fillId="10" borderId="1" xfId="0" applyFont="1" applyFill="1" applyBorder="1" applyAlignment="1">
      <alignment horizontal="center"/>
    </xf>
    <xf numFmtId="0" fontId="23" fillId="10" borderId="1" xfId="0" applyFont="1" applyFill="1" applyBorder="1" applyAlignment="1">
      <alignment horizontal="center"/>
    </xf>
    <xf numFmtId="0" fontId="10" fillId="10" borderId="4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10" borderId="21" xfId="0" applyFont="1" applyFill="1" applyBorder="1" applyAlignment="1">
      <alignment horizontal="center" vertical="center"/>
    </xf>
    <xf numFmtId="0" fontId="23" fillId="10" borderId="21" xfId="0" applyFont="1" applyFill="1" applyBorder="1" applyAlignment="1">
      <alignment horizontal="center" vertical="center"/>
    </xf>
    <xf numFmtId="0" fontId="30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2" borderId="31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49" fontId="13" fillId="10" borderId="33" xfId="0" applyNumberFormat="1" applyFont="1" applyFill="1" applyBorder="1" applyAlignment="1">
      <alignment horizontal="center" vertical="center"/>
    </xf>
    <xf numFmtId="49" fontId="13" fillId="10" borderId="34" xfId="0" applyNumberFormat="1" applyFont="1" applyFill="1" applyBorder="1" applyAlignment="1">
      <alignment horizontal="center" vertical="center"/>
    </xf>
    <xf numFmtId="49" fontId="48" fillId="17" borderId="32" xfId="0" applyNumberFormat="1" applyFont="1" applyFill="1" applyBorder="1" applyAlignment="1">
      <alignment horizontal="center" vertical="center"/>
    </xf>
    <xf numFmtId="49" fontId="48" fillId="17" borderId="34" xfId="0" applyNumberFormat="1" applyFont="1" applyFill="1" applyBorder="1" applyAlignment="1">
      <alignment horizontal="center" vertical="center"/>
    </xf>
    <xf numFmtId="0" fontId="52" fillId="18" borderId="48" xfId="0" applyFont="1" applyFill="1" applyBorder="1" applyAlignment="1">
      <alignment horizontal="center" vertical="center"/>
    </xf>
    <xf numFmtId="0" fontId="52" fillId="18" borderId="49" xfId="0" applyFont="1" applyFill="1" applyBorder="1" applyAlignment="1">
      <alignment horizontal="center" vertical="center"/>
    </xf>
    <xf numFmtId="0" fontId="13" fillId="8" borderId="32" xfId="0" applyFont="1" applyFill="1" applyBorder="1" applyAlignment="1">
      <alignment horizontal="center" vertical="center" wrapText="1"/>
    </xf>
    <xf numFmtId="0" fontId="13" fillId="8" borderId="33" xfId="0" applyFont="1" applyFill="1" applyBorder="1" applyAlignment="1">
      <alignment horizontal="center" vertical="center" wrapText="1"/>
    </xf>
    <xf numFmtId="0" fontId="13" fillId="8" borderId="34" xfId="0" applyFont="1" applyFill="1" applyBorder="1" applyAlignment="1">
      <alignment horizontal="center" vertical="center" wrapText="1"/>
    </xf>
    <xf numFmtId="0" fontId="26" fillId="13" borderId="37" xfId="0" applyFont="1" applyFill="1" applyBorder="1" applyAlignment="1" applyProtection="1">
      <alignment horizontal="center" vertical="center" wrapText="1"/>
      <protection hidden="1"/>
    </xf>
    <xf numFmtId="0" fontId="26" fillId="13" borderId="38" xfId="0" applyFont="1" applyFill="1" applyBorder="1" applyAlignment="1" applyProtection="1">
      <alignment horizontal="center" vertical="center" wrapText="1"/>
      <protection hidden="1"/>
    </xf>
    <xf numFmtId="0" fontId="26" fillId="13" borderId="39" xfId="0" applyFont="1" applyFill="1" applyBorder="1" applyAlignment="1" applyProtection="1">
      <alignment horizontal="center" vertical="center" wrapText="1"/>
      <protection hidden="1"/>
    </xf>
    <xf numFmtId="0" fontId="13" fillId="8" borderId="32" xfId="0" applyFont="1" applyFill="1" applyBorder="1" applyAlignment="1">
      <alignment horizontal="center" vertical="center"/>
    </xf>
    <xf numFmtId="0" fontId="13" fillId="8" borderId="33" xfId="0" applyFont="1" applyFill="1" applyBorder="1" applyAlignment="1">
      <alignment horizontal="center" vertical="center"/>
    </xf>
    <xf numFmtId="0" fontId="13" fillId="8" borderId="34" xfId="0" applyFont="1" applyFill="1" applyBorder="1" applyAlignment="1">
      <alignment horizontal="center" vertical="center"/>
    </xf>
    <xf numFmtId="0" fontId="25" fillId="12" borderId="32" xfId="0" applyFont="1" applyFill="1" applyBorder="1" applyAlignment="1">
      <alignment horizontal="center" vertical="center" wrapText="1"/>
    </xf>
    <xf numFmtId="0" fontId="25" fillId="12" borderId="33" xfId="0" applyFont="1" applyFill="1" applyBorder="1" applyAlignment="1">
      <alignment horizontal="center" vertical="center" wrapText="1"/>
    </xf>
    <xf numFmtId="0" fontId="25" fillId="12" borderId="34" xfId="0" applyFont="1" applyFill="1" applyBorder="1" applyAlignment="1">
      <alignment horizontal="center" vertical="center" wrapText="1"/>
    </xf>
    <xf numFmtId="0" fontId="25" fillId="8" borderId="31" xfId="0" applyFont="1" applyFill="1" applyBorder="1" applyAlignment="1">
      <alignment horizontal="center" vertical="center"/>
    </xf>
    <xf numFmtId="0" fontId="13" fillId="12" borderId="32" xfId="0" applyFont="1" applyFill="1" applyBorder="1" applyAlignment="1">
      <alignment horizontal="center"/>
    </xf>
    <xf numFmtId="0" fontId="13" fillId="12" borderId="33" xfId="0" applyFont="1" applyFill="1" applyBorder="1" applyAlignment="1">
      <alignment horizontal="center"/>
    </xf>
    <xf numFmtId="0" fontId="13" fillId="12" borderId="34" xfId="0" applyFont="1" applyFill="1" applyBorder="1" applyAlignment="1">
      <alignment horizontal="center"/>
    </xf>
    <xf numFmtId="0" fontId="4" fillId="12" borderId="32" xfId="0" applyFont="1" applyFill="1" applyBorder="1" applyAlignment="1">
      <alignment horizontal="center"/>
    </xf>
    <xf numFmtId="0" fontId="4" fillId="12" borderId="33" xfId="0" applyFont="1" applyFill="1" applyBorder="1" applyAlignment="1">
      <alignment horizontal="center"/>
    </xf>
    <xf numFmtId="0" fontId="4" fillId="12" borderId="34" xfId="0" applyFont="1" applyFill="1" applyBorder="1" applyAlignment="1">
      <alignment horizontal="center"/>
    </xf>
    <xf numFmtId="0" fontId="26" fillId="13" borderId="37" xfId="0" applyFont="1" applyFill="1" applyBorder="1" applyAlignment="1" applyProtection="1">
      <alignment horizontal="left" vertical="center"/>
      <protection hidden="1"/>
    </xf>
    <xf numFmtId="0" fontId="26" fillId="13" borderId="38" xfId="0" applyFont="1" applyFill="1" applyBorder="1" applyAlignment="1" applyProtection="1">
      <alignment horizontal="left" vertical="center"/>
      <protection hidden="1"/>
    </xf>
    <xf numFmtId="0" fontId="26" fillId="13" borderId="39" xfId="0" applyFont="1" applyFill="1" applyBorder="1" applyAlignment="1" applyProtection="1">
      <alignment horizontal="left" vertical="center"/>
      <protection hidden="1"/>
    </xf>
    <xf numFmtId="0" fontId="13" fillId="12" borderId="32" xfId="0" applyFont="1" applyFill="1" applyBorder="1" applyAlignment="1">
      <alignment horizontal="center" vertical="center"/>
    </xf>
    <xf numFmtId="0" fontId="13" fillId="12" borderId="33" xfId="0" applyFont="1" applyFill="1" applyBorder="1" applyAlignment="1">
      <alignment horizontal="center" vertical="center"/>
    </xf>
    <xf numFmtId="0" fontId="13" fillId="12" borderId="3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wrapText="1"/>
    </xf>
    <xf numFmtId="0" fontId="1" fillId="0" borderId="4" xfId="0" applyFont="1" applyFill="1" applyBorder="1" applyAlignment="1">
      <alignment horizontal="left"/>
    </xf>
    <xf numFmtId="0" fontId="1" fillId="0" borderId="5" xfId="0" applyFont="1" applyFill="1" applyBorder="1" applyAlignment="1">
      <alignment horizontal="left"/>
    </xf>
    <xf numFmtId="0" fontId="38" fillId="11" borderId="1" xfId="0" applyFont="1" applyFill="1" applyBorder="1" applyAlignment="1">
      <alignment horizontal="center" wrapText="1"/>
    </xf>
    <xf numFmtId="0" fontId="38" fillId="11" borderId="1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left" vertical="center" wrapText="1"/>
    </xf>
    <xf numFmtId="0" fontId="1" fillId="0" borderId="4" xfId="0" applyFont="1" applyFill="1" applyBorder="1" applyAlignment="1">
      <alignment horizontal="left" vertical="center" wrapText="1"/>
    </xf>
    <xf numFmtId="0" fontId="1" fillId="0" borderId="5" xfId="0" applyFont="1" applyFill="1" applyBorder="1" applyAlignment="1">
      <alignment horizontal="left" vertical="center" wrapText="1"/>
    </xf>
    <xf numFmtId="0" fontId="14" fillId="0" borderId="31" xfId="1" applyFill="1" applyBorder="1" applyAlignment="1" applyProtection="1">
      <alignment horizontal="center" vertical="center"/>
    </xf>
    <xf numFmtId="0" fontId="25" fillId="0" borderId="31" xfId="0" applyFont="1" applyFill="1" applyBorder="1" applyAlignment="1">
      <alignment horizontal="center" vertical="center"/>
    </xf>
    <xf numFmtId="0" fontId="38" fillId="0" borderId="31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center" readingOrder="1"/>
    </xf>
    <xf numFmtId="0" fontId="1" fillId="0" borderId="4" xfId="0" applyFont="1" applyFill="1" applyBorder="1" applyAlignment="1">
      <alignment horizontal="left" vertical="center" readingOrder="1"/>
    </xf>
    <xf numFmtId="0" fontId="1" fillId="0" borderId="5" xfId="0" applyFont="1" applyFill="1" applyBorder="1" applyAlignment="1">
      <alignment horizontal="left" vertical="center" readingOrder="1"/>
    </xf>
    <xf numFmtId="0" fontId="1" fillId="0" borderId="3" xfId="0" applyFont="1" applyFill="1" applyBorder="1" applyAlignment="1">
      <alignment horizontal="left"/>
    </xf>
    <xf numFmtId="0" fontId="25" fillId="0" borderId="37" xfId="0" applyFont="1" applyFill="1" applyBorder="1" applyAlignment="1">
      <alignment horizontal="center" vertical="top" wrapText="1"/>
    </xf>
    <xf numFmtId="0" fontId="25" fillId="0" borderId="38" xfId="0" applyFont="1" applyFill="1" applyBorder="1" applyAlignment="1">
      <alignment horizontal="center" vertical="top" wrapText="1"/>
    </xf>
    <xf numFmtId="0" fontId="25" fillId="0" borderId="39" xfId="0" applyFont="1" applyFill="1" applyBorder="1" applyAlignment="1">
      <alignment horizontal="center" vertical="top" wrapText="1"/>
    </xf>
    <xf numFmtId="0" fontId="25" fillId="0" borderId="36" xfId="0" applyFont="1" applyFill="1" applyBorder="1" applyAlignment="1">
      <alignment horizontal="center" vertical="top" wrapText="1"/>
    </xf>
    <xf numFmtId="0" fontId="25" fillId="0" borderId="35" xfId="0" applyFont="1" applyFill="1" applyBorder="1" applyAlignment="1">
      <alignment horizontal="center" vertical="top" wrapText="1"/>
    </xf>
    <xf numFmtId="0" fontId="25" fillId="0" borderId="40" xfId="0" applyFont="1" applyFill="1" applyBorder="1" applyAlignment="1">
      <alignment horizontal="center" vertical="top" wrapText="1"/>
    </xf>
  </cellXfs>
  <cellStyles count="3">
    <cellStyle name="Hyperlink" xfId="1" builtinId="8"/>
    <cellStyle name="Normal" xfId="0" builtinId="0"/>
    <cellStyle name="Percent" xfId="2" builtinId="5"/>
  </cellStyles>
  <dxfs count="48">
    <dxf>
      <font>
        <b/>
        <i val="0"/>
        <color theme="3" tint="0.39994506668294322"/>
      </font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theme="3" tint="0.39994506668294322"/>
      </font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theme="3" tint="0.39994506668294322"/>
      </font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theme="3" tint="0.39994506668294322"/>
      </font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00B0F0"/>
      </font>
      <fill>
        <patternFill>
          <bgColor theme="4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rgb="FF0070C0"/>
      </font>
    </dxf>
    <dxf>
      <font>
        <color rgb="FFFF0000"/>
      </font>
      <fill>
        <patternFill patternType="solid">
          <bgColor theme="9" tint="0.79998168889431442"/>
        </patternFill>
      </fill>
    </dxf>
    <dxf>
      <font>
        <b/>
        <i val="0"/>
        <color rgb="FF0070C0"/>
      </font>
      <fill>
        <patternFill>
          <bgColor theme="8" tint="0.79998168889431442"/>
        </patternFill>
      </fill>
    </dxf>
    <dxf>
      <font>
        <color rgb="FFFF0000"/>
      </font>
      <fill>
        <patternFill patternType="solid">
          <bgColor theme="9" tint="0.79998168889431442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strike val="0"/>
        <color rgb="FF00FFFF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strike val="0"/>
        <color rgb="FF00FFFF"/>
      </font>
      <fill>
        <patternFill patternType="none">
          <bgColor auto="1"/>
        </patternFill>
      </fill>
    </dxf>
    <dxf>
      <font>
        <b/>
        <i val="0"/>
        <strike val="0"/>
        <color rgb="FF00FFFF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condense val="0"/>
        <extend val="0"/>
        <color rgb="FF9C0006"/>
      </font>
    </dxf>
  </dxfs>
  <tableStyles count="0" defaultTableStyle="TableStyleMedium9" defaultPivotStyle="PivotStyleLight16"/>
  <colors>
    <mruColors>
      <color rgb="FFFF9900"/>
      <color rgb="FF00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4"/>
  <c:chart>
    <c:plotArea>
      <c:layout/>
      <c:scatterChart>
        <c:scatterStyle val="smoothMarker"/>
        <c:ser>
          <c:idx val="0"/>
          <c:order val="0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SpectreH!$M$12:$M$412</c:f>
              <c:numCache>
                <c:formatCode>0.00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</c:numRef>
          </c:xVal>
          <c:yVal>
            <c:numRef>
              <c:f>SpectreH!$N$12:$N$412</c:f>
              <c:numCache>
                <c:formatCode>0.0000</c:formatCode>
                <c:ptCount val="401"/>
                <c:pt idx="0">
                  <c:v>0.26</c:v>
                </c:pt>
                <c:pt idx="1">
                  <c:v>0.26</c:v>
                </c:pt>
                <c:pt idx="2">
                  <c:v>0.26</c:v>
                </c:pt>
                <c:pt idx="3">
                  <c:v>0.26</c:v>
                </c:pt>
                <c:pt idx="4">
                  <c:v>0.26</c:v>
                </c:pt>
                <c:pt idx="5">
                  <c:v>0.26</c:v>
                </c:pt>
                <c:pt idx="6">
                  <c:v>0.26</c:v>
                </c:pt>
                <c:pt idx="7">
                  <c:v>0.26</c:v>
                </c:pt>
                <c:pt idx="8">
                  <c:v>0.26</c:v>
                </c:pt>
                <c:pt idx="9">
                  <c:v>0.26</c:v>
                </c:pt>
                <c:pt idx="10">
                  <c:v>0.26</c:v>
                </c:pt>
                <c:pt idx="11">
                  <c:v>0.26</c:v>
                </c:pt>
                <c:pt idx="12">
                  <c:v>0.26</c:v>
                </c:pt>
                <c:pt idx="13">
                  <c:v>0.26</c:v>
                </c:pt>
                <c:pt idx="14">
                  <c:v>0.26</c:v>
                </c:pt>
                <c:pt idx="15">
                  <c:v>0.26</c:v>
                </c:pt>
                <c:pt idx="16">
                  <c:v>0.26</c:v>
                </c:pt>
                <c:pt idx="17">
                  <c:v>0.26</c:v>
                </c:pt>
                <c:pt idx="18">
                  <c:v>0.26</c:v>
                </c:pt>
                <c:pt idx="19">
                  <c:v>0.26</c:v>
                </c:pt>
                <c:pt idx="20">
                  <c:v>0.26</c:v>
                </c:pt>
                <c:pt idx="21">
                  <c:v>0.26</c:v>
                </c:pt>
                <c:pt idx="22">
                  <c:v>0.26</c:v>
                </c:pt>
                <c:pt idx="23">
                  <c:v>0.26</c:v>
                </c:pt>
                <c:pt idx="24">
                  <c:v>0.26</c:v>
                </c:pt>
                <c:pt idx="25">
                  <c:v>0.26</c:v>
                </c:pt>
                <c:pt idx="26">
                  <c:v>0.26</c:v>
                </c:pt>
                <c:pt idx="27">
                  <c:v>0.26</c:v>
                </c:pt>
                <c:pt idx="28">
                  <c:v>0.26</c:v>
                </c:pt>
                <c:pt idx="29">
                  <c:v>0.26</c:v>
                </c:pt>
                <c:pt idx="30">
                  <c:v>0.26</c:v>
                </c:pt>
                <c:pt idx="31">
                  <c:v>0.26</c:v>
                </c:pt>
                <c:pt idx="32">
                  <c:v>0.26</c:v>
                </c:pt>
                <c:pt idx="33">
                  <c:v>0.26</c:v>
                </c:pt>
                <c:pt idx="34">
                  <c:v>0.26</c:v>
                </c:pt>
                <c:pt idx="35">
                  <c:v>0.26</c:v>
                </c:pt>
                <c:pt idx="36">
                  <c:v>0.26</c:v>
                </c:pt>
                <c:pt idx="37">
                  <c:v>0.26</c:v>
                </c:pt>
                <c:pt idx="38">
                  <c:v>0.26</c:v>
                </c:pt>
                <c:pt idx="39">
                  <c:v>0.26</c:v>
                </c:pt>
                <c:pt idx="40">
                  <c:v>0.26</c:v>
                </c:pt>
                <c:pt idx="41">
                  <c:v>0.26</c:v>
                </c:pt>
                <c:pt idx="42">
                  <c:v>0.26</c:v>
                </c:pt>
                <c:pt idx="43">
                  <c:v>0.26</c:v>
                </c:pt>
                <c:pt idx="44">
                  <c:v>0.26</c:v>
                </c:pt>
                <c:pt idx="45">
                  <c:v>0.26</c:v>
                </c:pt>
                <c:pt idx="46">
                  <c:v>0.26</c:v>
                </c:pt>
                <c:pt idx="47">
                  <c:v>0.26</c:v>
                </c:pt>
                <c:pt idx="48">
                  <c:v>0.26</c:v>
                </c:pt>
                <c:pt idx="49">
                  <c:v>0.26</c:v>
                </c:pt>
                <c:pt idx="50">
                  <c:v>0.26</c:v>
                </c:pt>
                <c:pt idx="51">
                  <c:v>0.26</c:v>
                </c:pt>
                <c:pt idx="52">
                  <c:v>0.26</c:v>
                </c:pt>
                <c:pt idx="53">
                  <c:v>0.26</c:v>
                </c:pt>
                <c:pt idx="54">
                  <c:v>0.26</c:v>
                </c:pt>
                <c:pt idx="55">
                  <c:v>0.26</c:v>
                </c:pt>
                <c:pt idx="56">
                  <c:v>0.26</c:v>
                </c:pt>
                <c:pt idx="57">
                  <c:v>0.26</c:v>
                </c:pt>
                <c:pt idx="58">
                  <c:v>0.26</c:v>
                </c:pt>
                <c:pt idx="59">
                  <c:v>0.26</c:v>
                </c:pt>
                <c:pt idx="60">
                  <c:v>0.26</c:v>
                </c:pt>
                <c:pt idx="61">
                  <c:v>0.25574000000000002</c:v>
                </c:pt>
                <c:pt idx="62">
                  <c:v>0.25161</c:v>
                </c:pt>
                <c:pt idx="63">
                  <c:v>0.24762000000000001</c:v>
                </c:pt>
                <c:pt idx="64">
                  <c:v>0.24374999999999999</c:v>
                </c:pt>
                <c:pt idx="65">
                  <c:v>0.24</c:v>
                </c:pt>
                <c:pt idx="66">
                  <c:v>0.23635999999999999</c:v>
                </c:pt>
                <c:pt idx="67">
                  <c:v>0.23283999999999999</c:v>
                </c:pt>
                <c:pt idx="68">
                  <c:v>0.22941</c:v>
                </c:pt>
                <c:pt idx="69">
                  <c:v>0.22609000000000001</c:v>
                </c:pt>
                <c:pt idx="70">
                  <c:v>0.22286</c:v>
                </c:pt>
                <c:pt idx="71">
                  <c:v>0.21972</c:v>
                </c:pt>
                <c:pt idx="72">
                  <c:v>0.21667</c:v>
                </c:pt>
                <c:pt idx="73">
                  <c:v>0.2137</c:v>
                </c:pt>
                <c:pt idx="74">
                  <c:v>0.21081</c:v>
                </c:pt>
                <c:pt idx="75">
                  <c:v>0.20799999999999999</c:v>
                </c:pt>
                <c:pt idx="76">
                  <c:v>0.20526</c:v>
                </c:pt>
                <c:pt idx="77">
                  <c:v>0.2026</c:v>
                </c:pt>
                <c:pt idx="78">
                  <c:v>0.2</c:v>
                </c:pt>
                <c:pt idx="79">
                  <c:v>0.19747000000000001</c:v>
                </c:pt>
                <c:pt idx="80">
                  <c:v>0.19500000000000001</c:v>
                </c:pt>
                <c:pt idx="81">
                  <c:v>0.19259000000000001</c:v>
                </c:pt>
                <c:pt idx="82">
                  <c:v>0.19023999999999999</c:v>
                </c:pt>
                <c:pt idx="83">
                  <c:v>0.18795000000000001</c:v>
                </c:pt>
                <c:pt idx="84">
                  <c:v>0.18570999999999999</c:v>
                </c:pt>
                <c:pt idx="85">
                  <c:v>0.18353</c:v>
                </c:pt>
                <c:pt idx="86">
                  <c:v>0.18140000000000001</c:v>
                </c:pt>
                <c:pt idx="87">
                  <c:v>0.17931</c:v>
                </c:pt>
                <c:pt idx="88">
                  <c:v>0.17727000000000001</c:v>
                </c:pt>
                <c:pt idx="89">
                  <c:v>0.17527999999999999</c:v>
                </c:pt>
                <c:pt idx="90">
                  <c:v>0.17333000000000001</c:v>
                </c:pt>
                <c:pt idx="91">
                  <c:v>0.17143</c:v>
                </c:pt>
                <c:pt idx="92">
                  <c:v>0.16957</c:v>
                </c:pt>
                <c:pt idx="93">
                  <c:v>0.16774</c:v>
                </c:pt>
                <c:pt idx="94">
                  <c:v>0.16596</c:v>
                </c:pt>
                <c:pt idx="95">
                  <c:v>0.16420999999999999</c:v>
                </c:pt>
                <c:pt idx="96">
                  <c:v>0.16250000000000001</c:v>
                </c:pt>
                <c:pt idx="97">
                  <c:v>0.16081999999999999</c:v>
                </c:pt>
                <c:pt idx="98">
                  <c:v>0.15917999999999999</c:v>
                </c:pt>
                <c:pt idx="99">
                  <c:v>0.15758</c:v>
                </c:pt>
                <c:pt idx="100">
                  <c:v>0.156</c:v>
                </c:pt>
                <c:pt idx="101">
                  <c:v>0.15445999999999999</c:v>
                </c:pt>
                <c:pt idx="102">
                  <c:v>0.15293999999999999</c:v>
                </c:pt>
                <c:pt idx="103">
                  <c:v>0.15146000000000001</c:v>
                </c:pt>
                <c:pt idx="104">
                  <c:v>0.15</c:v>
                </c:pt>
                <c:pt idx="105">
                  <c:v>0.14857000000000001</c:v>
                </c:pt>
                <c:pt idx="106">
                  <c:v>0.14717</c:v>
                </c:pt>
                <c:pt idx="107">
                  <c:v>0.14579</c:v>
                </c:pt>
                <c:pt idx="108">
                  <c:v>0.14444000000000001</c:v>
                </c:pt>
                <c:pt idx="109">
                  <c:v>0.14312</c:v>
                </c:pt>
                <c:pt idx="110">
                  <c:v>0.14182</c:v>
                </c:pt>
                <c:pt idx="111">
                  <c:v>0.14054</c:v>
                </c:pt>
                <c:pt idx="112">
                  <c:v>0.13929</c:v>
                </c:pt>
                <c:pt idx="113">
                  <c:v>0.13805000000000001</c:v>
                </c:pt>
                <c:pt idx="114">
                  <c:v>0.13683999999999999</c:v>
                </c:pt>
                <c:pt idx="115">
                  <c:v>0.13564999999999999</c:v>
                </c:pt>
                <c:pt idx="116">
                  <c:v>0.13447999999999999</c:v>
                </c:pt>
                <c:pt idx="117">
                  <c:v>0.13333</c:v>
                </c:pt>
                <c:pt idx="118">
                  <c:v>0.13220000000000001</c:v>
                </c:pt>
                <c:pt idx="119">
                  <c:v>0.13109000000000001</c:v>
                </c:pt>
                <c:pt idx="120">
                  <c:v>0.13</c:v>
                </c:pt>
                <c:pt idx="121">
                  <c:v>0.12892999999999999</c:v>
                </c:pt>
                <c:pt idx="122">
                  <c:v>0.12787000000000001</c:v>
                </c:pt>
                <c:pt idx="123">
                  <c:v>0.12683</c:v>
                </c:pt>
                <c:pt idx="124">
                  <c:v>0.12581000000000001</c:v>
                </c:pt>
                <c:pt idx="125">
                  <c:v>0.12479999999999999</c:v>
                </c:pt>
                <c:pt idx="126">
                  <c:v>0.12381</c:v>
                </c:pt>
                <c:pt idx="127">
                  <c:v>0.12282999999999999</c:v>
                </c:pt>
                <c:pt idx="128">
                  <c:v>0.12188</c:v>
                </c:pt>
                <c:pt idx="129">
                  <c:v>0.12093</c:v>
                </c:pt>
                <c:pt idx="130">
                  <c:v>0.12</c:v>
                </c:pt>
                <c:pt idx="131">
                  <c:v>0.11908000000000001</c:v>
                </c:pt>
                <c:pt idx="132">
                  <c:v>0.11817999999999999</c:v>
                </c:pt>
                <c:pt idx="133">
                  <c:v>0.11729000000000001</c:v>
                </c:pt>
                <c:pt idx="134">
                  <c:v>0.11642</c:v>
                </c:pt>
                <c:pt idx="135">
                  <c:v>0.11556</c:v>
                </c:pt>
                <c:pt idx="136">
                  <c:v>0.11471000000000001</c:v>
                </c:pt>
                <c:pt idx="137">
                  <c:v>0.11387</c:v>
                </c:pt>
                <c:pt idx="138">
                  <c:v>0.11304</c:v>
                </c:pt>
                <c:pt idx="139">
                  <c:v>0.11223</c:v>
                </c:pt>
                <c:pt idx="140">
                  <c:v>0.11143</c:v>
                </c:pt>
                <c:pt idx="141">
                  <c:v>0.11064</c:v>
                </c:pt>
                <c:pt idx="142">
                  <c:v>0.10986</c:v>
                </c:pt>
                <c:pt idx="143">
                  <c:v>0.10909000000000001</c:v>
                </c:pt>
                <c:pt idx="144">
                  <c:v>0.10833</c:v>
                </c:pt>
                <c:pt idx="145">
                  <c:v>0.10759000000000001</c:v>
                </c:pt>
                <c:pt idx="146">
                  <c:v>0.10685</c:v>
                </c:pt>
                <c:pt idx="147">
                  <c:v>0.10612000000000001</c:v>
                </c:pt>
                <c:pt idx="148">
                  <c:v>0.10541</c:v>
                </c:pt>
                <c:pt idx="149">
                  <c:v>0.1047</c:v>
                </c:pt>
                <c:pt idx="150">
                  <c:v>0.104</c:v>
                </c:pt>
                <c:pt idx="151">
                  <c:v>0.10331</c:v>
                </c:pt>
                <c:pt idx="152">
                  <c:v>0.10263</c:v>
                </c:pt>
                <c:pt idx="153">
                  <c:v>0.10196</c:v>
                </c:pt>
                <c:pt idx="154">
                  <c:v>0.1013</c:v>
                </c:pt>
                <c:pt idx="155">
                  <c:v>0.10065</c:v>
                </c:pt>
                <c:pt idx="156">
                  <c:v>0.1</c:v>
                </c:pt>
                <c:pt idx="157">
                  <c:v>9.9360000000000004E-2</c:v>
                </c:pt>
                <c:pt idx="158">
                  <c:v>9.8729999999999998E-2</c:v>
                </c:pt>
                <c:pt idx="159">
                  <c:v>9.8110000000000003E-2</c:v>
                </c:pt>
                <c:pt idx="160">
                  <c:v>9.7500000000000003E-2</c:v>
                </c:pt>
                <c:pt idx="161">
                  <c:v>9.6890000000000004E-2</c:v>
                </c:pt>
                <c:pt idx="162">
                  <c:v>9.6299999999999997E-2</c:v>
                </c:pt>
                <c:pt idx="163">
                  <c:v>9.5710000000000003E-2</c:v>
                </c:pt>
                <c:pt idx="164">
                  <c:v>9.5119999999999996E-2</c:v>
                </c:pt>
                <c:pt idx="165">
                  <c:v>9.4549999999999995E-2</c:v>
                </c:pt>
                <c:pt idx="166">
                  <c:v>9.3979999999999994E-2</c:v>
                </c:pt>
                <c:pt idx="167">
                  <c:v>9.3410000000000007E-2</c:v>
                </c:pt>
                <c:pt idx="168">
                  <c:v>9.2859999999999998E-2</c:v>
                </c:pt>
                <c:pt idx="169">
                  <c:v>9.2310000000000003E-2</c:v>
                </c:pt>
                <c:pt idx="170">
                  <c:v>9.1759999999999994E-2</c:v>
                </c:pt>
                <c:pt idx="171">
                  <c:v>9.1230000000000006E-2</c:v>
                </c:pt>
                <c:pt idx="172">
                  <c:v>9.0700000000000003E-2</c:v>
                </c:pt>
                <c:pt idx="173">
                  <c:v>9.017E-2</c:v>
                </c:pt>
                <c:pt idx="174">
                  <c:v>8.9660000000000004E-2</c:v>
                </c:pt>
                <c:pt idx="175">
                  <c:v>8.9139999999999997E-2</c:v>
                </c:pt>
                <c:pt idx="176">
                  <c:v>8.8639999999999997E-2</c:v>
                </c:pt>
                <c:pt idx="177">
                  <c:v>8.8139999999999996E-2</c:v>
                </c:pt>
                <c:pt idx="178">
                  <c:v>8.7639999999999996E-2</c:v>
                </c:pt>
                <c:pt idx="179">
                  <c:v>8.7150000000000005E-2</c:v>
                </c:pt>
                <c:pt idx="180">
                  <c:v>8.6669999999999997E-2</c:v>
                </c:pt>
                <c:pt idx="181">
                  <c:v>8.6190000000000003E-2</c:v>
                </c:pt>
                <c:pt idx="182">
                  <c:v>8.5709999999999995E-2</c:v>
                </c:pt>
                <c:pt idx="183">
                  <c:v>8.5250000000000006E-2</c:v>
                </c:pt>
                <c:pt idx="184">
                  <c:v>8.4779999999999994E-2</c:v>
                </c:pt>
                <c:pt idx="185">
                  <c:v>8.4320000000000006E-2</c:v>
                </c:pt>
                <c:pt idx="186">
                  <c:v>8.387E-2</c:v>
                </c:pt>
                <c:pt idx="187">
                  <c:v>8.3419999999999994E-2</c:v>
                </c:pt>
                <c:pt idx="188">
                  <c:v>8.2979999999999998E-2</c:v>
                </c:pt>
                <c:pt idx="189">
                  <c:v>8.2540000000000002E-2</c:v>
                </c:pt>
                <c:pt idx="190">
                  <c:v>8.2110000000000002E-2</c:v>
                </c:pt>
                <c:pt idx="191">
                  <c:v>8.1680000000000003E-2</c:v>
                </c:pt>
                <c:pt idx="192">
                  <c:v>8.1250000000000003E-2</c:v>
                </c:pt>
                <c:pt idx="193">
                  <c:v>8.0829999999999999E-2</c:v>
                </c:pt>
                <c:pt idx="194">
                  <c:v>8.0409999999999995E-2</c:v>
                </c:pt>
                <c:pt idx="195">
                  <c:v>0.08</c:v>
                </c:pt>
                <c:pt idx="196">
                  <c:v>7.9589999999999994E-2</c:v>
                </c:pt>
                <c:pt idx="197">
                  <c:v>7.9189999999999997E-2</c:v>
                </c:pt>
                <c:pt idx="198">
                  <c:v>7.8789999999999999E-2</c:v>
                </c:pt>
                <c:pt idx="199">
                  <c:v>7.8390000000000001E-2</c:v>
                </c:pt>
                <c:pt idx="200">
                  <c:v>7.8E-2</c:v>
                </c:pt>
                <c:pt idx="201">
                  <c:v>7.7229999999999993E-2</c:v>
                </c:pt>
                <c:pt idx="202">
                  <c:v>7.646E-2</c:v>
                </c:pt>
                <c:pt idx="203">
                  <c:v>7.571E-2</c:v>
                </c:pt>
                <c:pt idx="204">
                  <c:v>7.4969999999999995E-2</c:v>
                </c:pt>
                <c:pt idx="205">
                  <c:v>7.424E-2</c:v>
                </c:pt>
                <c:pt idx="206">
                  <c:v>7.3520000000000002E-2</c:v>
                </c:pt>
                <c:pt idx="207">
                  <c:v>7.281E-2</c:v>
                </c:pt>
                <c:pt idx="208">
                  <c:v>7.2120000000000004E-2</c:v>
                </c:pt>
                <c:pt idx="209">
                  <c:v>7.1429999999999993E-2</c:v>
                </c:pt>
                <c:pt idx="210">
                  <c:v>7.0749999999999993E-2</c:v>
                </c:pt>
                <c:pt idx="211">
                  <c:v>7.0080000000000003E-2</c:v>
                </c:pt>
                <c:pt idx="212">
                  <c:v>6.9419999999999996E-2</c:v>
                </c:pt>
                <c:pt idx="213">
                  <c:v>6.8769999999999998E-2</c:v>
                </c:pt>
                <c:pt idx="214">
                  <c:v>6.8129999999999996E-2</c:v>
                </c:pt>
                <c:pt idx="215">
                  <c:v>6.7500000000000004E-2</c:v>
                </c:pt>
                <c:pt idx="216">
                  <c:v>6.6869999999999999E-2</c:v>
                </c:pt>
                <c:pt idx="217">
                  <c:v>6.6259999999999999E-2</c:v>
                </c:pt>
                <c:pt idx="218">
                  <c:v>6.565E-2</c:v>
                </c:pt>
                <c:pt idx="219">
                  <c:v>6.5049999999999997E-2</c:v>
                </c:pt>
                <c:pt idx="220">
                  <c:v>6.4460000000000003E-2</c:v>
                </c:pt>
                <c:pt idx="221">
                  <c:v>6.3880000000000006E-2</c:v>
                </c:pt>
                <c:pt idx="222">
                  <c:v>6.3310000000000005E-2</c:v>
                </c:pt>
                <c:pt idx="223">
                  <c:v>6.2740000000000004E-2</c:v>
                </c:pt>
                <c:pt idx="224">
                  <c:v>6.2179999999999999E-2</c:v>
                </c:pt>
                <c:pt idx="225">
                  <c:v>6.1629999999999997E-2</c:v>
                </c:pt>
                <c:pt idx="226">
                  <c:v>6.1089999999999998E-2</c:v>
                </c:pt>
                <c:pt idx="227">
                  <c:v>6.055E-2</c:v>
                </c:pt>
                <c:pt idx="228">
                  <c:v>6.0019999999999997E-2</c:v>
                </c:pt>
                <c:pt idx="229">
                  <c:v>0.06</c:v>
                </c:pt>
                <c:pt idx="230">
                  <c:v>0.06</c:v>
                </c:pt>
                <c:pt idx="231">
                  <c:v>0.06</c:v>
                </c:pt>
                <c:pt idx="232">
                  <c:v>0.06</c:v>
                </c:pt>
                <c:pt idx="233">
                  <c:v>0.06</c:v>
                </c:pt>
                <c:pt idx="234">
                  <c:v>0.06</c:v>
                </c:pt>
                <c:pt idx="235">
                  <c:v>0.06</c:v>
                </c:pt>
                <c:pt idx="236">
                  <c:v>0.06</c:v>
                </c:pt>
                <c:pt idx="237">
                  <c:v>0.06</c:v>
                </c:pt>
                <c:pt idx="238">
                  <c:v>0.06</c:v>
                </c:pt>
                <c:pt idx="239">
                  <c:v>0.06</c:v>
                </c:pt>
                <c:pt idx="240">
                  <c:v>0.06</c:v>
                </c:pt>
                <c:pt idx="241">
                  <c:v>0.06</c:v>
                </c:pt>
                <c:pt idx="242">
                  <c:v>0.06</c:v>
                </c:pt>
                <c:pt idx="243">
                  <c:v>0.06</c:v>
                </c:pt>
                <c:pt idx="244">
                  <c:v>0.06</c:v>
                </c:pt>
                <c:pt idx="245">
                  <c:v>0.06</c:v>
                </c:pt>
                <c:pt idx="246">
                  <c:v>0.06</c:v>
                </c:pt>
                <c:pt idx="247">
                  <c:v>0.06</c:v>
                </c:pt>
                <c:pt idx="248">
                  <c:v>0.06</c:v>
                </c:pt>
                <c:pt idx="249">
                  <c:v>0.06</c:v>
                </c:pt>
                <c:pt idx="250">
                  <c:v>0.06</c:v>
                </c:pt>
                <c:pt idx="251">
                  <c:v>0.06</c:v>
                </c:pt>
                <c:pt idx="252">
                  <c:v>0.06</c:v>
                </c:pt>
                <c:pt idx="253">
                  <c:v>0.06</c:v>
                </c:pt>
                <c:pt idx="254">
                  <c:v>0.06</c:v>
                </c:pt>
                <c:pt idx="255">
                  <c:v>0.06</c:v>
                </c:pt>
                <c:pt idx="256">
                  <c:v>0.06</c:v>
                </c:pt>
                <c:pt idx="257">
                  <c:v>0.06</c:v>
                </c:pt>
                <c:pt idx="258">
                  <c:v>0.06</c:v>
                </c:pt>
                <c:pt idx="259">
                  <c:v>0.06</c:v>
                </c:pt>
                <c:pt idx="260">
                  <c:v>0.06</c:v>
                </c:pt>
                <c:pt idx="261">
                  <c:v>0.06</c:v>
                </c:pt>
                <c:pt idx="262">
                  <c:v>0.06</c:v>
                </c:pt>
                <c:pt idx="263">
                  <c:v>0.06</c:v>
                </c:pt>
                <c:pt idx="264">
                  <c:v>0.06</c:v>
                </c:pt>
                <c:pt idx="265">
                  <c:v>0.06</c:v>
                </c:pt>
                <c:pt idx="266">
                  <c:v>0.06</c:v>
                </c:pt>
                <c:pt idx="267">
                  <c:v>0.06</c:v>
                </c:pt>
                <c:pt idx="268">
                  <c:v>0.06</c:v>
                </c:pt>
                <c:pt idx="269">
                  <c:v>0.06</c:v>
                </c:pt>
                <c:pt idx="270">
                  <c:v>0.06</c:v>
                </c:pt>
                <c:pt idx="271">
                  <c:v>0.06</c:v>
                </c:pt>
                <c:pt idx="272">
                  <c:v>0.06</c:v>
                </c:pt>
                <c:pt idx="273">
                  <c:v>0.06</c:v>
                </c:pt>
                <c:pt idx="274">
                  <c:v>0.06</c:v>
                </c:pt>
                <c:pt idx="275">
                  <c:v>0.06</c:v>
                </c:pt>
                <c:pt idx="276">
                  <c:v>0.06</c:v>
                </c:pt>
                <c:pt idx="277">
                  <c:v>0.06</c:v>
                </c:pt>
                <c:pt idx="278">
                  <c:v>0.06</c:v>
                </c:pt>
                <c:pt idx="279">
                  <c:v>0.06</c:v>
                </c:pt>
                <c:pt idx="280">
                  <c:v>0.06</c:v>
                </c:pt>
                <c:pt idx="281">
                  <c:v>0.06</c:v>
                </c:pt>
                <c:pt idx="282">
                  <c:v>0.06</c:v>
                </c:pt>
                <c:pt idx="283">
                  <c:v>0.06</c:v>
                </c:pt>
                <c:pt idx="284">
                  <c:v>0.06</c:v>
                </c:pt>
                <c:pt idx="285">
                  <c:v>0.06</c:v>
                </c:pt>
                <c:pt idx="286">
                  <c:v>0.06</c:v>
                </c:pt>
                <c:pt idx="287">
                  <c:v>0.06</c:v>
                </c:pt>
                <c:pt idx="288">
                  <c:v>0.06</c:v>
                </c:pt>
                <c:pt idx="289">
                  <c:v>0.06</c:v>
                </c:pt>
                <c:pt idx="290">
                  <c:v>0.06</c:v>
                </c:pt>
                <c:pt idx="291">
                  <c:v>0.06</c:v>
                </c:pt>
                <c:pt idx="292">
                  <c:v>0.06</c:v>
                </c:pt>
                <c:pt idx="293">
                  <c:v>0.06</c:v>
                </c:pt>
                <c:pt idx="294">
                  <c:v>0.06</c:v>
                </c:pt>
                <c:pt idx="295">
                  <c:v>0.06</c:v>
                </c:pt>
                <c:pt idx="296">
                  <c:v>0.06</c:v>
                </c:pt>
                <c:pt idx="297">
                  <c:v>0.06</c:v>
                </c:pt>
                <c:pt idx="298">
                  <c:v>0.06</c:v>
                </c:pt>
                <c:pt idx="299">
                  <c:v>0.06</c:v>
                </c:pt>
                <c:pt idx="300">
                  <c:v>0.06</c:v>
                </c:pt>
                <c:pt idx="301">
                  <c:v>0.06</c:v>
                </c:pt>
                <c:pt idx="302">
                  <c:v>0.06</c:v>
                </c:pt>
                <c:pt idx="303">
                  <c:v>0.06</c:v>
                </c:pt>
                <c:pt idx="304">
                  <c:v>0.06</c:v>
                </c:pt>
                <c:pt idx="305">
                  <c:v>0.06</c:v>
                </c:pt>
                <c:pt idx="306">
                  <c:v>0.06</c:v>
                </c:pt>
                <c:pt idx="307">
                  <c:v>0.06</c:v>
                </c:pt>
                <c:pt idx="308">
                  <c:v>0.06</c:v>
                </c:pt>
                <c:pt idx="309">
                  <c:v>0.06</c:v>
                </c:pt>
                <c:pt idx="310">
                  <c:v>0.06</c:v>
                </c:pt>
                <c:pt idx="311">
                  <c:v>0.06</c:v>
                </c:pt>
                <c:pt idx="312">
                  <c:v>0.06</c:v>
                </c:pt>
                <c:pt idx="313">
                  <c:v>0.06</c:v>
                </c:pt>
                <c:pt idx="314">
                  <c:v>0.06</c:v>
                </c:pt>
                <c:pt idx="315">
                  <c:v>0.06</c:v>
                </c:pt>
                <c:pt idx="316">
                  <c:v>0.06</c:v>
                </c:pt>
                <c:pt idx="317">
                  <c:v>0.06</c:v>
                </c:pt>
                <c:pt idx="318">
                  <c:v>0.06</c:v>
                </c:pt>
                <c:pt idx="319">
                  <c:v>0.06</c:v>
                </c:pt>
                <c:pt idx="320">
                  <c:v>0.06</c:v>
                </c:pt>
                <c:pt idx="321">
                  <c:v>0.06</c:v>
                </c:pt>
                <c:pt idx="322">
                  <c:v>0.06</c:v>
                </c:pt>
                <c:pt idx="323">
                  <c:v>0.06</c:v>
                </c:pt>
                <c:pt idx="324">
                  <c:v>0.06</c:v>
                </c:pt>
                <c:pt idx="325">
                  <c:v>0.06</c:v>
                </c:pt>
                <c:pt idx="326">
                  <c:v>0.06</c:v>
                </c:pt>
                <c:pt idx="327">
                  <c:v>0.06</c:v>
                </c:pt>
                <c:pt idx="328">
                  <c:v>0.06</c:v>
                </c:pt>
                <c:pt idx="329">
                  <c:v>0.06</c:v>
                </c:pt>
                <c:pt idx="330">
                  <c:v>0.06</c:v>
                </c:pt>
                <c:pt idx="331">
                  <c:v>0.06</c:v>
                </c:pt>
                <c:pt idx="332">
                  <c:v>0.06</c:v>
                </c:pt>
                <c:pt idx="333">
                  <c:v>0.06</c:v>
                </c:pt>
                <c:pt idx="334">
                  <c:v>0.06</c:v>
                </c:pt>
                <c:pt idx="335">
                  <c:v>0.06</c:v>
                </c:pt>
                <c:pt idx="336">
                  <c:v>0.06</c:v>
                </c:pt>
                <c:pt idx="337">
                  <c:v>0.06</c:v>
                </c:pt>
                <c:pt idx="338">
                  <c:v>0.06</c:v>
                </c:pt>
                <c:pt idx="339">
                  <c:v>0.06</c:v>
                </c:pt>
                <c:pt idx="340">
                  <c:v>0.06</c:v>
                </c:pt>
                <c:pt idx="341">
                  <c:v>0.06</c:v>
                </c:pt>
                <c:pt idx="342">
                  <c:v>0.06</c:v>
                </c:pt>
                <c:pt idx="343">
                  <c:v>0.06</c:v>
                </c:pt>
                <c:pt idx="344">
                  <c:v>0.06</c:v>
                </c:pt>
                <c:pt idx="345">
                  <c:v>0.06</c:v>
                </c:pt>
                <c:pt idx="346">
                  <c:v>0.06</c:v>
                </c:pt>
                <c:pt idx="347">
                  <c:v>0.06</c:v>
                </c:pt>
                <c:pt idx="348">
                  <c:v>0.06</c:v>
                </c:pt>
                <c:pt idx="349">
                  <c:v>0.06</c:v>
                </c:pt>
                <c:pt idx="350">
                  <c:v>0.06</c:v>
                </c:pt>
                <c:pt idx="351">
                  <c:v>0.06</c:v>
                </c:pt>
                <c:pt idx="352">
                  <c:v>0.06</c:v>
                </c:pt>
                <c:pt idx="353">
                  <c:v>0.06</c:v>
                </c:pt>
                <c:pt idx="354">
                  <c:v>0.06</c:v>
                </c:pt>
                <c:pt idx="355">
                  <c:v>0.06</c:v>
                </c:pt>
                <c:pt idx="356">
                  <c:v>0.06</c:v>
                </c:pt>
                <c:pt idx="357">
                  <c:v>0.06</c:v>
                </c:pt>
                <c:pt idx="358">
                  <c:v>0.06</c:v>
                </c:pt>
                <c:pt idx="359">
                  <c:v>0.06</c:v>
                </c:pt>
                <c:pt idx="360">
                  <c:v>0.06</c:v>
                </c:pt>
                <c:pt idx="361">
                  <c:v>0.06</c:v>
                </c:pt>
                <c:pt idx="362">
                  <c:v>0.06</c:v>
                </c:pt>
                <c:pt idx="363">
                  <c:v>0.06</c:v>
                </c:pt>
                <c:pt idx="364">
                  <c:v>0.06</c:v>
                </c:pt>
                <c:pt idx="365">
                  <c:v>0.06</c:v>
                </c:pt>
                <c:pt idx="366">
                  <c:v>0.06</c:v>
                </c:pt>
                <c:pt idx="367">
                  <c:v>0.06</c:v>
                </c:pt>
                <c:pt idx="368">
                  <c:v>0.06</c:v>
                </c:pt>
                <c:pt idx="369">
                  <c:v>0.06</c:v>
                </c:pt>
                <c:pt idx="370">
                  <c:v>0.06</c:v>
                </c:pt>
                <c:pt idx="371">
                  <c:v>0.06</c:v>
                </c:pt>
                <c:pt idx="372">
                  <c:v>0.06</c:v>
                </c:pt>
                <c:pt idx="373">
                  <c:v>0.06</c:v>
                </c:pt>
                <c:pt idx="374">
                  <c:v>0.06</c:v>
                </c:pt>
                <c:pt idx="375">
                  <c:v>0.06</c:v>
                </c:pt>
                <c:pt idx="376">
                  <c:v>0.06</c:v>
                </c:pt>
                <c:pt idx="377">
                  <c:v>0.06</c:v>
                </c:pt>
                <c:pt idx="378">
                  <c:v>0.06</c:v>
                </c:pt>
                <c:pt idx="379">
                  <c:v>0.06</c:v>
                </c:pt>
                <c:pt idx="380">
                  <c:v>0.06</c:v>
                </c:pt>
                <c:pt idx="381">
                  <c:v>0.06</c:v>
                </c:pt>
                <c:pt idx="382">
                  <c:v>0.06</c:v>
                </c:pt>
                <c:pt idx="383">
                  <c:v>0.06</c:v>
                </c:pt>
                <c:pt idx="384">
                  <c:v>0.06</c:v>
                </c:pt>
                <c:pt idx="385">
                  <c:v>0.06</c:v>
                </c:pt>
                <c:pt idx="386">
                  <c:v>0.06</c:v>
                </c:pt>
                <c:pt idx="387">
                  <c:v>0.06</c:v>
                </c:pt>
                <c:pt idx="388">
                  <c:v>0.06</c:v>
                </c:pt>
                <c:pt idx="389">
                  <c:v>0.06</c:v>
                </c:pt>
                <c:pt idx="390">
                  <c:v>0.06</c:v>
                </c:pt>
                <c:pt idx="391">
                  <c:v>0.06</c:v>
                </c:pt>
                <c:pt idx="392">
                  <c:v>0.06</c:v>
                </c:pt>
                <c:pt idx="393">
                  <c:v>0.06</c:v>
                </c:pt>
                <c:pt idx="394">
                  <c:v>0.06</c:v>
                </c:pt>
                <c:pt idx="395">
                  <c:v>0.06</c:v>
                </c:pt>
                <c:pt idx="396">
                  <c:v>0.06</c:v>
                </c:pt>
                <c:pt idx="397">
                  <c:v>0.06</c:v>
                </c:pt>
                <c:pt idx="398">
                  <c:v>0.06</c:v>
                </c:pt>
                <c:pt idx="399">
                  <c:v>0.06</c:v>
                </c:pt>
                <c:pt idx="400">
                  <c:v>0.06</c:v>
                </c:pt>
              </c:numCache>
            </c:numRef>
          </c:yVal>
          <c:smooth val="1"/>
        </c:ser>
        <c:axId val="77919360"/>
        <c:axId val="77921664"/>
      </c:scatterChart>
      <c:valAx>
        <c:axId val="77919360"/>
        <c:scaling>
          <c:orientation val="minMax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 (T) (S)</a:t>
                </a:r>
              </a:p>
            </c:rich>
          </c:tx>
        </c:title>
        <c:numFmt formatCode="0.00" sourceLinked="1"/>
        <c:tickLblPos val="nextTo"/>
        <c:crossAx val="77921664"/>
        <c:crosses val="autoZero"/>
        <c:crossBetween val="midCat"/>
      </c:valAx>
      <c:valAx>
        <c:axId val="77921664"/>
        <c:scaling>
          <c:orientation val="minMax"/>
        </c:scaling>
        <c:axPos val="l"/>
        <c:majorGridlines/>
        <c:minorGridlines>
          <c:spPr>
            <a:ln>
              <a:solidFill>
                <a:schemeClr val="tx2">
                  <a:lumMod val="20000"/>
                  <a:lumOff val="80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Sad/g (T)</a:t>
                </a:r>
              </a:p>
            </c:rich>
          </c:tx>
        </c:title>
        <c:numFmt formatCode="0.0000" sourceLinked="1"/>
        <c:tickLblPos val="nextTo"/>
        <c:crossAx val="77919360"/>
        <c:crosses val="autoZero"/>
        <c:crossBetween val="midCat"/>
      </c:valAx>
    </c:plotArea>
    <c:plotVisOnly val="1"/>
  </c:chart>
  <c:spPr>
    <a:noFill/>
    <a:ln>
      <a:noFill/>
    </a:ln>
  </c:spPr>
  <c:txPr>
    <a:bodyPr/>
    <a:lstStyle/>
    <a:p>
      <a:pPr>
        <a:defRPr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fr-FR"/>
    </a:p>
  </c:txPr>
  <c:printSettings>
    <c:headerFooter/>
    <c:pageMargins b="0.75000000000001443" l="0.70000000000000062" r="0.70000000000000062" t="0.7500000000000144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4"/>
  <c:chart>
    <c:plotArea>
      <c:layout/>
      <c:scatterChart>
        <c:scatterStyle val="smoothMarker"/>
        <c:ser>
          <c:idx val="0"/>
          <c:order val="0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SpectreV!$M$10:$M$410</c:f>
              <c:numCache>
                <c:formatCode>0.00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</c:numRef>
          </c:xVal>
          <c:yVal>
            <c:numRef>
              <c:f>SpectreV!$N$10:$N$410</c:f>
              <c:numCache>
                <c:formatCode>0.0000</c:formatCode>
                <c:ptCount val="401"/>
                <c:pt idx="0">
                  <c:v>0.18</c:v>
                </c:pt>
                <c:pt idx="1">
                  <c:v>0.17399999999999999</c:v>
                </c:pt>
                <c:pt idx="2">
                  <c:v>0.16800000000000001</c:v>
                </c:pt>
                <c:pt idx="3">
                  <c:v>0.16200000000000001</c:v>
                </c:pt>
                <c:pt idx="4">
                  <c:v>0.156</c:v>
                </c:pt>
                <c:pt idx="5">
                  <c:v>0.15</c:v>
                </c:pt>
                <c:pt idx="6">
                  <c:v>0.15</c:v>
                </c:pt>
                <c:pt idx="7">
                  <c:v>0.15</c:v>
                </c:pt>
                <c:pt idx="8">
                  <c:v>0.15</c:v>
                </c:pt>
                <c:pt idx="9">
                  <c:v>0.15</c:v>
                </c:pt>
                <c:pt idx="10">
                  <c:v>0.15</c:v>
                </c:pt>
                <c:pt idx="11">
                  <c:v>0.15</c:v>
                </c:pt>
                <c:pt idx="12">
                  <c:v>0.15</c:v>
                </c:pt>
                <c:pt idx="13">
                  <c:v>0.15</c:v>
                </c:pt>
                <c:pt idx="14">
                  <c:v>0.15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0.14779</c:v>
                </c:pt>
                <c:pt idx="42">
                  <c:v>0.14566999999999999</c:v>
                </c:pt>
                <c:pt idx="43">
                  <c:v>0.14363000000000001</c:v>
                </c:pt>
                <c:pt idx="44">
                  <c:v>0.14166000000000001</c:v>
                </c:pt>
                <c:pt idx="45">
                  <c:v>0.13977000000000001</c:v>
                </c:pt>
                <c:pt idx="46">
                  <c:v>0.13793</c:v>
                </c:pt>
                <c:pt idx="47">
                  <c:v>0.13617000000000001</c:v>
                </c:pt>
                <c:pt idx="48">
                  <c:v>0.13446</c:v>
                </c:pt>
                <c:pt idx="49">
                  <c:v>0.1328</c:v>
                </c:pt>
                <c:pt idx="50">
                  <c:v>0.13120000000000001</c:v>
                </c:pt>
                <c:pt idx="51">
                  <c:v>0.12964999999999999</c:v>
                </c:pt>
                <c:pt idx="52">
                  <c:v>0.12814999999999999</c:v>
                </c:pt>
                <c:pt idx="53">
                  <c:v>0.12670000000000001</c:v>
                </c:pt>
                <c:pt idx="54">
                  <c:v>0.12528</c:v>
                </c:pt>
                <c:pt idx="55">
                  <c:v>0.12391000000000001</c:v>
                </c:pt>
                <c:pt idx="56">
                  <c:v>0.12257999999999999</c:v>
                </c:pt>
                <c:pt idx="57">
                  <c:v>0.12128</c:v>
                </c:pt>
                <c:pt idx="58">
                  <c:v>0.12002</c:v>
                </c:pt>
                <c:pt idx="59">
                  <c:v>0.1188</c:v>
                </c:pt>
                <c:pt idx="60">
                  <c:v>0.11761000000000001</c:v>
                </c:pt>
                <c:pt idx="61">
                  <c:v>0.11645</c:v>
                </c:pt>
                <c:pt idx="62">
                  <c:v>0.11532000000000001</c:v>
                </c:pt>
                <c:pt idx="63">
                  <c:v>0.11421000000000001</c:v>
                </c:pt>
                <c:pt idx="64">
                  <c:v>0.11314</c:v>
                </c:pt>
                <c:pt idx="65">
                  <c:v>0.11209</c:v>
                </c:pt>
                <c:pt idx="66">
                  <c:v>0.11107</c:v>
                </c:pt>
                <c:pt idx="67">
                  <c:v>0.11007</c:v>
                </c:pt>
                <c:pt idx="68">
                  <c:v>0.1091</c:v>
                </c:pt>
                <c:pt idx="69">
                  <c:v>0.10815</c:v>
                </c:pt>
                <c:pt idx="70">
                  <c:v>0.10722</c:v>
                </c:pt>
                <c:pt idx="71">
                  <c:v>0.10631</c:v>
                </c:pt>
                <c:pt idx="72">
                  <c:v>0.10542</c:v>
                </c:pt>
                <c:pt idx="73">
                  <c:v>0.10455</c:v>
                </c:pt>
                <c:pt idx="74">
                  <c:v>0.1037</c:v>
                </c:pt>
                <c:pt idx="75">
                  <c:v>0.10287</c:v>
                </c:pt>
                <c:pt idx="76">
                  <c:v>0.10206</c:v>
                </c:pt>
                <c:pt idx="77">
                  <c:v>0.10126</c:v>
                </c:pt>
                <c:pt idx="78">
                  <c:v>0.10048</c:v>
                </c:pt>
                <c:pt idx="79">
                  <c:v>9.9709999999999993E-2</c:v>
                </c:pt>
                <c:pt idx="80">
                  <c:v>9.8960000000000006E-2</c:v>
                </c:pt>
                <c:pt idx="81">
                  <c:v>9.8229999999999998E-2</c:v>
                </c:pt>
                <c:pt idx="82">
                  <c:v>9.7509999999999999E-2</c:v>
                </c:pt>
                <c:pt idx="83">
                  <c:v>9.6799999999999997E-2</c:v>
                </c:pt>
                <c:pt idx="84">
                  <c:v>9.6110000000000001E-2</c:v>
                </c:pt>
                <c:pt idx="85">
                  <c:v>9.5430000000000001E-2</c:v>
                </c:pt>
                <c:pt idx="86">
                  <c:v>9.4759999999999997E-2</c:v>
                </c:pt>
                <c:pt idx="87">
                  <c:v>9.4109999999999999E-2</c:v>
                </c:pt>
                <c:pt idx="88">
                  <c:v>9.3460000000000001E-2</c:v>
                </c:pt>
                <c:pt idx="89">
                  <c:v>9.2829999999999996E-2</c:v>
                </c:pt>
                <c:pt idx="90">
                  <c:v>9.221E-2</c:v>
                </c:pt>
                <c:pt idx="91">
                  <c:v>9.1600000000000001E-2</c:v>
                </c:pt>
                <c:pt idx="92">
                  <c:v>9.0999999999999998E-2</c:v>
                </c:pt>
                <c:pt idx="93">
                  <c:v>9.0410000000000004E-2</c:v>
                </c:pt>
                <c:pt idx="94">
                  <c:v>8.9840000000000003E-2</c:v>
                </c:pt>
                <c:pt idx="95">
                  <c:v>8.9270000000000002E-2</c:v>
                </c:pt>
                <c:pt idx="96">
                  <c:v>8.8709999999999997E-2</c:v>
                </c:pt>
                <c:pt idx="97">
                  <c:v>8.8160000000000002E-2</c:v>
                </c:pt>
                <c:pt idx="98">
                  <c:v>8.7620000000000003E-2</c:v>
                </c:pt>
                <c:pt idx="99">
                  <c:v>8.7090000000000001E-2</c:v>
                </c:pt>
                <c:pt idx="100">
                  <c:v>8.6559999999999998E-2</c:v>
                </c:pt>
                <c:pt idx="101">
                  <c:v>8.5529999999999995E-2</c:v>
                </c:pt>
                <c:pt idx="102">
                  <c:v>8.4529999999999994E-2</c:v>
                </c:pt>
                <c:pt idx="103">
                  <c:v>8.3549999999999999E-2</c:v>
                </c:pt>
                <c:pt idx="104">
                  <c:v>8.2580000000000001E-2</c:v>
                </c:pt>
                <c:pt idx="105">
                  <c:v>8.1640000000000004E-2</c:v>
                </c:pt>
                <c:pt idx="106">
                  <c:v>8.072E-2</c:v>
                </c:pt>
                <c:pt idx="107">
                  <c:v>7.9810000000000006E-2</c:v>
                </c:pt>
                <c:pt idx="108">
                  <c:v>7.893E-2</c:v>
                </c:pt>
                <c:pt idx="109">
                  <c:v>7.8060000000000004E-2</c:v>
                </c:pt>
                <c:pt idx="110">
                  <c:v>7.7210000000000001E-2</c:v>
                </c:pt>
                <c:pt idx="111">
                  <c:v>7.6369999999999993E-2</c:v>
                </c:pt>
                <c:pt idx="112">
                  <c:v>7.5560000000000002E-2</c:v>
                </c:pt>
                <c:pt idx="113">
                  <c:v>7.4749999999999997E-2</c:v>
                </c:pt>
                <c:pt idx="114">
                  <c:v>7.3969999999999994E-2</c:v>
                </c:pt>
                <c:pt idx="115">
                  <c:v>7.3200000000000001E-2</c:v>
                </c:pt>
                <c:pt idx="116">
                  <c:v>7.2440000000000004E-2</c:v>
                </c:pt>
                <c:pt idx="117">
                  <c:v>7.17E-2</c:v>
                </c:pt>
                <c:pt idx="118">
                  <c:v>7.0970000000000005E-2</c:v>
                </c:pt>
                <c:pt idx="119">
                  <c:v>7.0250000000000007E-2</c:v>
                </c:pt>
                <c:pt idx="120">
                  <c:v>6.9550000000000001E-2</c:v>
                </c:pt>
                <c:pt idx="121">
                  <c:v>6.8860000000000005E-2</c:v>
                </c:pt>
                <c:pt idx="122">
                  <c:v>6.8190000000000001E-2</c:v>
                </c:pt>
                <c:pt idx="123">
                  <c:v>6.7519999999999997E-2</c:v>
                </c:pt>
                <c:pt idx="124">
                  <c:v>6.6869999999999999E-2</c:v>
                </c:pt>
                <c:pt idx="125">
                  <c:v>6.6229999999999997E-2</c:v>
                </c:pt>
                <c:pt idx="126">
                  <c:v>6.5600000000000006E-2</c:v>
                </c:pt>
                <c:pt idx="127">
                  <c:v>6.4979999999999996E-2</c:v>
                </c:pt>
                <c:pt idx="128">
                  <c:v>6.4369999999999997E-2</c:v>
                </c:pt>
                <c:pt idx="129">
                  <c:v>6.3769999999999993E-2</c:v>
                </c:pt>
                <c:pt idx="130">
                  <c:v>6.318E-2</c:v>
                </c:pt>
                <c:pt idx="131">
                  <c:v>6.2600000000000003E-2</c:v>
                </c:pt>
                <c:pt idx="132">
                  <c:v>6.2039999999999998E-2</c:v>
                </c:pt>
                <c:pt idx="133">
                  <c:v>6.148E-2</c:v>
                </c:pt>
                <c:pt idx="134">
                  <c:v>6.0929999999999998E-2</c:v>
                </c:pt>
                <c:pt idx="135">
                  <c:v>6.0380000000000003E-2</c:v>
                </c:pt>
                <c:pt idx="136">
                  <c:v>5.985E-2</c:v>
                </c:pt>
                <c:pt idx="137">
                  <c:v>5.9330000000000001E-2</c:v>
                </c:pt>
                <c:pt idx="138">
                  <c:v>5.8810000000000001E-2</c:v>
                </c:pt>
                <c:pt idx="139">
                  <c:v>5.8310000000000001E-2</c:v>
                </c:pt>
                <c:pt idx="140">
                  <c:v>5.781E-2</c:v>
                </c:pt>
                <c:pt idx="141">
                  <c:v>5.731E-2</c:v>
                </c:pt>
                <c:pt idx="142">
                  <c:v>5.6829999999999999E-2</c:v>
                </c:pt>
                <c:pt idx="143">
                  <c:v>5.6349999999999997E-2</c:v>
                </c:pt>
                <c:pt idx="144">
                  <c:v>5.5879999999999999E-2</c:v>
                </c:pt>
                <c:pt idx="145">
                  <c:v>5.5419999999999997E-2</c:v>
                </c:pt>
                <c:pt idx="146">
                  <c:v>5.4969999999999998E-2</c:v>
                </c:pt>
                <c:pt idx="147">
                  <c:v>5.4519999999999999E-2</c:v>
                </c:pt>
                <c:pt idx="148">
                  <c:v>5.4080000000000003E-2</c:v>
                </c:pt>
                <c:pt idx="149">
                  <c:v>5.3999999999999999E-2</c:v>
                </c:pt>
                <c:pt idx="150">
                  <c:v>5.3999999999999999E-2</c:v>
                </c:pt>
                <c:pt idx="151">
                  <c:v>5.3999999999999999E-2</c:v>
                </c:pt>
                <c:pt idx="152">
                  <c:v>5.3999999999999999E-2</c:v>
                </c:pt>
                <c:pt idx="153">
                  <c:v>5.3999999999999999E-2</c:v>
                </c:pt>
                <c:pt idx="154">
                  <c:v>5.3999999999999999E-2</c:v>
                </c:pt>
                <c:pt idx="155">
                  <c:v>5.3999999999999999E-2</c:v>
                </c:pt>
                <c:pt idx="156">
                  <c:v>5.3999999999999999E-2</c:v>
                </c:pt>
                <c:pt idx="157">
                  <c:v>5.3999999999999999E-2</c:v>
                </c:pt>
                <c:pt idx="158">
                  <c:v>5.3999999999999999E-2</c:v>
                </c:pt>
                <c:pt idx="159">
                  <c:v>5.3999999999999999E-2</c:v>
                </c:pt>
                <c:pt idx="160">
                  <c:v>5.3999999999999999E-2</c:v>
                </c:pt>
                <c:pt idx="161">
                  <c:v>5.3999999999999999E-2</c:v>
                </c:pt>
                <c:pt idx="162">
                  <c:v>5.3999999999999999E-2</c:v>
                </c:pt>
                <c:pt idx="163">
                  <c:v>5.3999999999999999E-2</c:v>
                </c:pt>
                <c:pt idx="164">
                  <c:v>5.3999999999999999E-2</c:v>
                </c:pt>
                <c:pt idx="165">
                  <c:v>5.3999999999999999E-2</c:v>
                </c:pt>
                <c:pt idx="166">
                  <c:v>5.3999999999999999E-2</c:v>
                </c:pt>
                <c:pt idx="167">
                  <c:v>5.3999999999999999E-2</c:v>
                </c:pt>
                <c:pt idx="168">
                  <c:v>5.3999999999999999E-2</c:v>
                </c:pt>
                <c:pt idx="169">
                  <c:v>5.3999999999999999E-2</c:v>
                </c:pt>
                <c:pt idx="170">
                  <c:v>5.3999999999999999E-2</c:v>
                </c:pt>
                <c:pt idx="171">
                  <c:v>5.3999999999999999E-2</c:v>
                </c:pt>
                <c:pt idx="172">
                  <c:v>5.3999999999999999E-2</c:v>
                </c:pt>
                <c:pt idx="173">
                  <c:v>5.3999999999999999E-2</c:v>
                </c:pt>
                <c:pt idx="174">
                  <c:v>5.3999999999999999E-2</c:v>
                </c:pt>
                <c:pt idx="175">
                  <c:v>5.3999999999999999E-2</c:v>
                </c:pt>
                <c:pt idx="176">
                  <c:v>5.3999999999999999E-2</c:v>
                </c:pt>
                <c:pt idx="177">
                  <c:v>5.3999999999999999E-2</c:v>
                </c:pt>
                <c:pt idx="178">
                  <c:v>5.3999999999999999E-2</c:v>
                </c:pt>
                <c:pt idx="179">
                  <c:v>5.3999999999999999E-2</c:v>
                </c:pt>
                <c:pt idx="180">
                  <c:v>5.3999999999999999E-2</c:v>
                </c:pt>
                <c:pt idx="181">
                  <c:v>5.3999999999999999E-2</c:v>
                </c:pt>
                <c:pt idx="182">
                  <c:v>5.3999999999999999E-2</c:v>
                </c:pt>
                <c:pt idx="183">
                  <c:v>5.3999999999999999E-2</c:v>
                </c:pt>
                <c:pt idx="184">
                  <c:v>5.3999999999999999E-2</c:v>
                </c:pt>
                <c:pt idx="185">
                  <c:v>5.3999999999999999E-2</c:v>
                </c:pt>
                <c:pt idx="186">
                  <c:v>5.3999999999999999E-2</c:v>
                </c:pt>
                <c:pt idx="187">
                  <c:v>5.3999999999999999E-2</c:v>
                </c:pt>
                <c:pt idx="188">
                  <c:v>5.3999999999999999E-2</c:v>
                </c:pt>
                <c:pt idx="189">
                  <c:v>5.3999999999999999E-2</c:v>
                </c:pt>
                <c:pt idx="190">
                  <c:v>5.3999999999999999E-2</c:v>
                </c:pt>
                <c:pt idx="191">
                  <c:v>5.3999999999999999E-2</c:v>
                </c:pt>
                <c:pt idx="192">
                  <c:v>5.3999999999999999E-2</c:v>
                </c:pt>
                <c:pt idx="193">
                  <c:v>5.3999999999999999E-2</c:v>
                </c:pt>
                <c:pt idx="194">
                  <c:v>5.3999999999999999E-2</c:v>
                </c:pt>
                <c:pt idx="195">
                  <c:v>5.3999999999999999E-2</c:v>
                </c:pt>
                <c:pt idx="196">
                  <c:v>5.3999999999999999E-2</c:v>
                </c:pt>
                <c:pt idx="197">
                  <c:v>5.3999999999999999E-2</c:v>
                </c:pt>
                <c:pt idx="198">
                  <c:v>5.3999999999999999E-2</c:v>
                </c:pt>
                <c:pt idx="199">
                  <c:v>5.3999999999999999E-2</c:v>
                </c:pt>
                <c:pt idx="200">
                  <c:v>5.3999999999999999E-2</c:v>
                </c:pt>
                <c:pt idx="201">
                  <c:v>5.3999999999999999E-2</c:v>
                </c:pt>
                <c:pt idx="202">
                  <c:v>5.3999999999999999E-2</c:v>
                </c:pt>
                <c:pt idx="203">
                  <c:v>5.3999999999999999E-2</c:v>
                </c:pt>
                <c:pt idx="204">
                  <c:v>5.3999999999999999E-2</c:v>
                </c:pt>
                <c:pt idx="205">
                  <c:v>5.3999999999999999E-2</c:v>
                </c:pt>
                <c:pt idx="206">
                  <c:v>5.3999999999999999E-2</c:v>
                </c:pt>
                <c:pt idx="207">
                  <c:v>5.3999999999999999E-2</c:v>
                </c:pt>
                <c:pt idx="208">
                  <c:v>5.3999999999999999E-2</c:v>
                </c:pt>
                <c:pt idx="209">
                  <c:v>5.3999999999999999E-2</c:v>
                </c:pt>
                <c:pt idx="210">
                  <c:v>5.3999999999999999E-2</c:v>
                </c:pt>
                <c:pt idx="211">
                  <c:v>5.3999999999999999E-2</c:v>
                </c:pt>
                <c:pt idx="212">
                  <c:v>5.3999999999999999E-2</c:v>
                </c:pt>
                <c:pt idx="213">
                  <c:v>5.3999999999999999E-2</c:v>
                </c:pt>
                <c:pt idx="214">
                  <c:v>5.3999999999999999E-2</c:v>
                </c:pt>
                <c:pt idx="215">
                  <c:v>5.3999999999999999E-2</c:v>
                </c:pt>
                <c:pt idx="216">
                  <c:v>5.3999999999999999E-2</c:v>
                </c:pt>
                <c:pt idx="217">
                  <c:v>5.3999999999999999E-2</c:v>
                </c:pt>
                <c:pt idx="218">
                  <c:v>5.3999999999999999E-2</c:v>
                </c:pt>
                <c:pt idx="219">
                  <c:v>5.3999999999999999E-2</c:v>
                </c:pt>
                <c:pt idx="220">
                  <c:v>5.3999999999999999E-2</c:v>
                </c:pt>
                <c:pt idx="221">
                  <c:v>5.3999999999999999E-2</c:v>
                </c:pt>
                <c:pt idx="222">
                  <c:v>5.3999999999999999E-2</c:v>
                </c:pt>
                <c:pt idx="223">
                  <c:v>5.3999999999999999E-2</c:v>
                </c:pt>
                <c:pt idx="224">
                  <c:v>5.3999999999999999E-2</c:v>
                </c:pt>
                <c:pt idx="225">
                  <c:v>5.3999999999999999E-2</c:v>
                </c:pt>
                <c:pt idx="226">
                  <c:v>5.3999999999999999E-2</c:v>
                </c:pt>
                <c:pt idx="227">
                  <c:v>5.3999999999999999E-2</c:v>
                </c:pt>
                <c:pt idx="228">
                  <c:v>5.3999999999999999E-2</c:v>
                </c:pt>
                <c:pt idx="229">
                  <c:v>5.3999999999999999E-2</c:v>
                </c:pt>
                <c:pt idx="230">
                  <c:v>5.3999999999999999E-2</c:v>
                </c:pt>
                <c:pt idx="231">
                  <c:v>5.3999999999999999E-2</c:v>
                </c:pt>
                <c:pt idx="232">
                  <c:v>5.3999999999999999E-2</c:v>
                </c:pt>
                <c:pt idx="233">
                  <c:v>5.3999999999999999E-2</c:v>
                </c:pt>
                <c:pt idx="234">
                  <c:v>5.3999999999999999E-2</c:v>
                </c:pt>
                <c:pt idx="235">
                  <c:v>5.3999999999999999E-2</c:v>
                </c:pt>
                <c:pt idx="236">
                  <c:v>5.3999999999999999E-2</c:v>
                </c:pt>
                <c:pt idx="237">
                  <c:v>5.3999999999999999E-2</c:v>
                </c:pt>
                <c:pt idx="238">
                  <c:v>5.3999999999999999E-2</c:v>
                </c:pt>
                <c:pt idx="239">
                  <c:v>5.3999999999999999E-2</c:v>
                </c:pt>
                <c:pt idx="240">
                  <c:v>5.3999999999999999E-2</c:v>
                </c:pt>
                <c:pt idx="241">
                  <c:v>5.3999999999999999E-2</c:v>
                </c:pt>
                <c:pt idx="242">
                  <c:v>5.3999999999999999E-2</c:v>
                </c:pt>
                <c:pt idx="243">
                  <c:v>5.3999999999999999E-2</c:v>
                </c:pt>
                <c:pt idx="244">
                  <c:v>5.3999999999999999E-2</c:v>
                </c:pt>
                <c:pt idx="245">
                  <c:v>5.3999999999999999E-2</c:v>
                </c:pt>
                <c:pt idx="246">
                  <c:v>5.3999999999999999E-2</c:v>
                </c:pt>
                <c:pt idx="247">
                  <c:v>5.3999999999999999E-2</c:v>
                </c:pt>
                <c:pt idx="248">
                  <c:v>5.3999999999999999E-2</c:v>
                </c:pt>
                <c:pt idx="249">
                  <c:v>5.3999999999999999E-2</c:v>
                </c:pt>
                <c:pt idx="250">
                  <c:v>5.3999999999999999E-2</c:v>
                </c:pt>
                <c:pt idx="251">
                  <c:v>5.3999999999999999E-2</c:v>
                </c:pt>
                <c:pt idx="252">
                  <c:v>5.3999999999999999E-2</c:v>
                </c:pt>
                <c:pt idx="253">
                  <c:v>5.3999999999999999E-2</c:v>
                </c:pt>
                <c:pt idx="254">
                  <c:v>5.3999999999999999E-2</c:v>
                </c:pt>
                <c:pt idx="255">
                  <c:v>5.3999999999999999E-2</c:v>
                </c:pt>
                <c:pt idx="256">
                  <c:v>5.3999999999999999E-2</c:v>
                </c:pt>
                <c:pt idx="257">
                  <c:v>5.3999999999999999E-2</c:v>
                </c:pt>
                <c:pt idx="258">
                  <c:v>5.3999999999999999E-2</c:v>
                </c:pt>
                <c:pt idx="259">
                  <c:v>5.3999999999999999E-2</c:v>
                </c:pt>
                <c:pt idx="260">
                  <c:v>5.3999999999999999E-2</c:v>
                </c:pt>
                <c:pt idx="261">
                  <c:v>5.3999999999999999E-2</c:v>
                </c:pt>
                <c:pt idx="262">
                  <c:v>5.3999999999999999E-2</c:v>
                </c:pt>
                <c:pt idx="263">
                  <c:v>5.3999999999999999E-2</c:v>
                </c:pt>
                <c:pt idx="264">
                  <c:v>5.3999999999999999E-2</c:v>
                </c:pt>
                <c:pt idx="265">
                  <c:v>5.3999999999999999E-2</c:v>
                </c:pt>
                <c:pt idx="266">
                  <c:v>5.3999999999999999E-2</c:v>
                </c:pt>
                <c:pt idx="267">
                  <c:v>5.3999999999999999E-2</c:v>
                </c:pt>
                <c:pt idx="268">
                  <c:v>5.3999999999999999E-2</c:v>
                </c:pt>
                <c:pt idx="269">
                  <c:v>5.3999999999999999E-2</c:v>
                </c:pt>
                <c:pt idx="270">
                  <c:v>5.3999999999999999E-2</c:v>
                </c:pt>
                <c:pt idx="271">
                  <c:v>5.3999999999999999E-2</c:v>
                </c:pt>
                <c:pt idx="272">
                  <c:v>5.3999999999999999E-2</c:v>
                </c:pt>
                <c:pt idx="273">
                  <c:v>5.3999999999999999E-2</c:v>
                </c:pt>
                <c:pt idx="274">
                  <c:v>5.3999999999999999E-2</c:v>
                </c:pt>
                <c:pt idx="275">
                  <c:v>5.3999999999999999E-2</c:v>
                </c:pt>
                <c:pt idx="276">
                  <c:v>5.3999999999999999E-2</c:v>
                </c:pt>
                <c:pt idx="277">
                  <c:v>5.3999999999999999E-2</c:v>
                </c:pt>
                <c:pt idx="278">
                  <c:v>5.3999999999999999E-2</c:v>
                </c:pt>
                <c:pt idx="279">
                  <c:v>5.3999999999999999E-2</c:v>
                </c:pt>
                <c:pt idx="280">
                  <c:v>5.3999999999999999E-2</c:v>
                </c:pt>
                <c:pt idx="281">
                  <c:v>5.3999999999999999E-2</c:v>
                </c:pt>
                <c:pt idx="282">
                  <c:v>5.3999999999999999E-2</c:v>
                </c:pt>
                <c:pt idx="283">
                  <c:v>5.3999999999999999E-2</c:v>
                </c:pt>
                <c:pt idx="284">
                  <c:v>5.3999999999999999E-2</c:v>
                </c:pt>
                <c:pt idx="285">
                  <c:v>5.3999999999999999E-2</c:v>
                </c:pt>
                <c:pt idx="286">
                  <c:v>5.3999999999999999E-2</c:v>
                </c:pt>
                <c:pt idx="287">
                  <c:v>5.3999999999999999E-2</c:v>
                </c:pt>
                <c:pt idx="288">
                  <c:v>5.3999999999999999E-2</c:v>
                </c:pt>
                <c:pt idx="289">
                  <c:v>5.3999999999999999E-2</c:v>
                </c:pt>
                <c:pt idx="290">
                  <c:v>5.3999999999999999E-2</c:v>
                </c:pt>
                <c:pt idx="291">
                  <c:v>5.3999999999999999E-2</c:v>
                </c:pt>
                <c:pt idx="292">
                  <c:v>5.3999999999999999E-2</c:v>
                </c:pt>
                <c:pt idx="293">
                  <c:v>5.3999999999999999E-2</c:v>
                </c:pt>
                <c:pt idx="294">
                  <c:v>5.3999999999999999E-2</c:v>
                </c:pt>
                <c:pt idx="295">
                  <c:v>5.3999999999999999E-2</c:v>
                </c:pt>
                <c:pt idx="296">
                  <c:v>5.3999999999999999E-2</c:v>
                </c:pt>
                <c:pt idx="297">
                  <c:v>5.3999999999999999E-2</c:v>
                </c:pt>
                <c:pt idx="298">
                  <c:v>5.3999999999999999E-2</c:v>
                </c:pt>
                <c:pt idx="299">
                  <c:v>5.3999999999999999E-2</c:v>
                </c:pt>
                <c:pt idx="300">
                  <c:v>5.3999999999999999E-2</c:v>
                </c:pt>
                <c:pt idx="301">
                  <c:v>5.3999999999999999E-2</c:v>
                </c:pt>
                <c:pt idx="302">
                  <c:v>5.3999999999999999E-2</c:v>
                </c:pt>
                <c:pt idx="303">
                  <c:v>5.3999999999999999E-2</c:v>
                </c:pt>
                <c:pt idx="304">
                  <c:v>5.3999999999999999E-2</c:v>
                </c:pt>
                <c:pt idx="305">
                  <c:v>5.3999999999999999E-2</c:v>
                </c:pt>
                <c:pt idx="306">
                  <c:v>5.3999999999999999E-2</c:v>
                </c:pt>
                <c:pt idx="307">
                  <c:v>5.3999999999999999E-2</c:v>
                </c:pt>
                <c:pt idx="308">
                  <c:v>5.3999999999999999E-2</c:v>
                </c:pt>
                <c:pt idx="309">
                  <c:v>5.3999999999999999E-2</c:v>
                </c:pt>
                <c:pt idx="310">
                  <c:v>5.3999999999999999E-2</c:v>
                </c:pt>
                <c:pt idx="311">
                  <c:v>5.3999999999999999E-2</c:v>
                </c:pt>
                <c:pt idx="312">
                  <c:v>5.3999999999999999E-2</c:v>
                </c:pt>
                <c:pt idx="313">
                  <c:v>5.3999999999999999E-2</c:v>
                </c:pt>
                <c:pt idx="314">
                  <c:v>5.3999999999999999E-2</c:v>
                </c:pt>
                <c:pt idx="315">
                  <c:v>5.3999999999999999E-2</c:v>
                </c:pt>
                <c:pt idx="316">
                  <c:v>5.3999999999999999E-2</c:v>
                </c:pt>
                <c:pt idx="317">
                  <c:v>5.3999999999999999E-2</c:v>
                </c:pt>
                <c:pt idx="318">
                  <c:v>5.3999999999999999E-2</c:v>
                </c:pt>
                <c:pt idx="319">
                  <c:v>5.3999999999999999E-2</c:v>
                </c:pt>
                <c:pt idx="320">
                  <c:v>5.3999999999999999E-2</c:v>
                </c:pt>
                <c:pt idx="321">
                  <c:v>5.3999999999999999E-2</c:v>
                </c:pt>
                <c:pt idx="322">
                  <c:v>5.3999999999999999E-2</c:v>
                </c:pt>
                <c:pt idx="323">
                  <c:v>5.3999999999999999E-2</c:v>
                </c:pt>
                <c:pt idx="324">
                  <c:v>5.3999999999999999E-2</c:v>
                </c:pt>
                <c:pt idx="325">
                  <c:v>5.3999999999999999E-2</c:v>
                </c:pt>
                <c:pt idx="326">
                  <c:v>5.3999999999999999E-2</c:v>
                </c:pt>
                <c:pt idx="327">
                  <c:v>5.3999999999999999E-2</c:v>
                </c:pt>
                <c:pt idx="328">
                  <c:v>5.3999999999999999E-2</c:v>
                </c:pt>
                <c:pt idx="329">
                  <c:v>5.3999999999999999E-2</c:v>
                </c:pt>
                <c:pt idx="330">
                  <c:v>5.3999999999999999E-2</c:v>
                </c:pt>
                <c:pt idx="331">
                  <c:v>5.3999999999999999E-2</c:v>
                </c:pt>
                <c:pt idx="332">
                  <c:v>5.3999999999999999E-2</c:v>
                </c:pt>
                <c:pt idx="333">
                  <c:v>5.3999999999999999E-2</c:v>
                </c:pt>
                <c:pt idx="334">
                  <c:v>5.3999999999999999E-2</c:v>
                </c:pt>
                <c:pt idx="335">
                  <c:v>5.3999999999999999E-2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5.3999999999999999E-2</c:v>
                </c:pt>
                <c:pt idx="339">
                  <c:v>5.3999999999999999E-2</c:v>
                </c:pt>
                <c:pt idx="340">
                  <c:v>5.3999999999999999E-2</c:v>
                </c:pt>
                <c:pt idx="341">
                  <c:v>5.3999999999999999E-2</c:v>
                </c:pt>
                <c:pt idx="342">
                  <c:v>5.3999999999999999E-2</c:v>
                </c:pt>
                <c:pt idx="343">
                  <c:v>5.3999999999999999E-2</c:v>
                </c:pt>
                <c:pt idx="344">
                  <c:v>5.3999999999999999E-2</c:v>
                </c:pt>
                <c:pt idx="345">
                  <c:v>5.3999999999999999E-2</c:v>
                </c:pt>
                <c:pt idx="346">
                  <c:v>5.3999999999999999E-2</c:v>
                </c:pt>
                <c:pt idx="347">
                  <c:v>5.3999999999999999E-2</c:v>
                </c:pt>
                <c:pt idx="348">
                  <c:v>5.3999999999999999E-2</c:v>
                </c:pt>
                <c:pt idx="349">
                  <c:v>5.3999999999999999E-2</c:v>
                </c:pt>
                <c:pt idx="350">
                  <c:v>5.3999999999999999E-2</c:v>
                </c:pt>
                <c:pt idx="351">
                  <c:v>5.3999999999999999E-2</c:v>
                </c:pt>
                <c:pt idx="352">
                  <c:v>5.3999999999999999E-2</c:v>
                </c:pt>
                <c:pt idx="353">
                  <c:v>5.3999999999999999E-2</c:v>
                </c:pt>
                <c:pt idx="354">
                  <c:v>5.3999999999999999E-2</c:v>
                </c:pt>
                <c:pt idx="355">
                  <c:v>5.3999999999999999E-2</c:v>
                </c:pt>
                <c:pt idx="356">
                  <c:v>5.3999999999999999E-2</c:v>
                </c:pt>
                <c:pt idx="357">
                  <c:v>5.3999999999999999E-2</c:v>
                </c:pt>
                <c:pt idx="358">
                  <c:v>5.3999999999999999E-2</c:v>
                </c:pt>
                <c:pt idx="359">
                  <c:v>5.3999999999999999E-2</c:v>
                </c:pt>
                <c:pt idx="360">
                  <c:v>5.3999999999999999E-2</c:v>
                </c:pt>
                <c:pt idx="361">
                  <c:v>5.3999999999999999E-2</c:v>
                </c:pt>
                <c:pt idx="362">
                  <c:v>5.3999999999999999E-2</c:v>
                </c:pt>
                <c:pt idx="363">
                  <c:v>5.3999999999999999E-2</c:v>
                </c:pt>
                <c:pt idx="364">
                  <c:v>5.3999999999999999E-2</c:v>
                </c:pt>
                <c:pt idx="365">
                  <c:v>5.3999999999999999E-2</c:v>
                </c:pt>
                <c:pt idx="366">
                  <c:v>5.3999999999999999E-2</c:v>
                </c:pt>
                <c:pt idx="367">
                  <c:v>5.3999999999999999E-2</c:v>
                </c:pt>
                <c:pt idx="368">
                  <c:v>5.3999999999999999E-2</c:v>
                </c:pt>
                <c:pt idx="369">
                  <c:v>5.3999999999999999E-2</c:v>
                </c:pt>
                <c:pt idx="370">
                  <c:v>5.3999999999999999E-2</c:v>
                </c:pt>
                <c:pt idx="371">
                  <c:v>5.3999999999999999E-2</c:v>
                </c:pt>
                <c:pt idx="372">
                  <c:v>5.3999999999999999E-2</c:v>
                </c:pt>
                <c:pt idx="373">
                  <c:v>5.3999999999999999E-2</c:v>
                </c:pt>
                <c:pt idx="374">
                  <c:v>5.3999999999999999E-2</c:v>
                </c:pt>
                <c:pt idx="375">
                  <c:v>5.3999999999999999E-2</c:v>
                </c:pt>
                <c:pt idx="376">
                  <c:v>5.3999999999999999E-2</c:v>
                </c:pt>
                <c:pt idx="377">
                  <c:v>5.3999999999999999E-2</c:v>
                </c:pt>
                <c:pt idx="378">
                  <c:v>5.3999999999999999E-2</c:v>
                </c:pt>
                <c:pt idx="379">
                  <c:v>5.3999999999999999E-2</c:v>
                </c:pt>
                <c:pt idx="380">
                  <c:v>5.3999999999999999E-2</c:v>
                </c:pt>
                <c:pt idx="381">
                  <c:v>5.3999999999999999E-2</c:v>
                </c:pt>
                <c:pt idx="382">
                  <c:v>5.3999999999999999E-2</c:v>
                </c:pt>
                <c:pt idx="383">
                  <c:v>5.3999999999999999E-2</c:v>
                </c:pt>
                <c:pt idx="384">
                  <c:v>5.3999999999999999E-2</c:v>
                </c:pt>
                <c:pt idx="385">
                  <c:v>5.3999999999999999E-2</c:v>
                </c:pt>
                <c:pt idx="386">
                  <c:v>5.3999999999999999E-2</c:v>
                </c:pt>
                <c:pt idx="387">
                  <c:v>5.3999999999999999E-2</c:v>
                </c:pt>
                <c:pt idx="388">
                  <c:v>5.3999999999999999E-2</c:v>
                </c:pt>
                <c:pt idx="389">
                  <c:v>5.3999999999999999E-2</c:v>
                </c:pt>
                <c:pt idx="390">
                  <c:v>5.3999999999999999E-2</c:v>
                </c:pt>
                <c:pt idx="391">
                  <c:v>5.3999999999999999E-2</c:v>
                </c:pt>
                <c:pt idx="392">
                  <c:v>5.3999999999999999E-2</c:v>
                </c:pt>
                <c:pt idx="393">
                  <c:v>5.3999999999999999E-2</c:v>
                </c:pt>
                <c:pt idx="394">
                  <c:v>5.3999999999999999E-2</c:v>
                </c:pt>
                <c:pt idx="395">
                  <c:v>5.3999999999999999E-2</c:v>
                </c:pt>
                <c:pt idx="396">
                  <c:v>5.3999999999999999E-2</c:v>
                </c:pt>
                <c:pt idx="397">
                  <c:v>5.3999999999999999E-2</c:v>
                </c:pt>
                <c:pt idx="398">
                  <c:v>5.3999999999999999E-2</c:v>
                </c:pt>
                <c:pt idx="399">
                  <c:v>5.3999999999999999E-2</c:v>
                </c:pt>
                <c:pt idx="400">
                  <c:v>5.3999999999999999E-2</c:v>
                </c:pt>
              </c:numCache>
            </c:numRef>
          </c:yVal>
          <c:smooth val="1"/>
        </c:ser>
        <c:axId val="93876608"/>
        <c:axId val="93878528"/>
      </c:scatterChart>
      <c:valAx>
        <c:axId val="93876608"/>
        <c:scaling>
          <c:orientation val="minMax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 (T) (S)</a:t>
                </a:r>
              </a:p>
            </c:rich>
          </c:tx>
        </c:title>
        <c:numFmt formatCode="0.00" sourceLinked="1"/>
        <c:tickLblPos val="nextTo"/>
        <c:crossAx val="93878528"/>
        <c:crosses val="autoZero"/>
        <c:crossBetween val="midCat"/>
      </c:valAx>
      <c:valAx>
        <c:axId val="93878528"/>
        <c:scaling>
          <c:orientation val="minMax"/>
        </c:scaling>
        <c:axPos val="l"/>
        <c:majorGridlines/>
        <c:minorGridlines>
          <c:spPr>
            <a:ln>
              <a:solidFill>
                <a:schemeClr val="tx2">
                  <a:lumMod val="20000"/>
                  <a:lumOff val="80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Sad/g (T)</a:t>
                </a:r>
              </a:p>
            </c:rich>
          </c:tx>
        </c:title>
        <c:numFmt formatCode="0.0000" sourceLinked="1"/>
        <c:tickLblPos val="nextTo"/>
        <c:crossAx val="93876608"/>
        <c:crosses val="autoZero"/>
        <c:crossBetween val="midCat"/>
      </c:valAx>
    </c:plotArea>
    <c:plotVisOnly val="1"/>
  </c:chart>
  <c:spPr>
    <a:noFill/>
    <a:ln>
      <a:noFill/>
    </a:ln>
  </c:spPr>
  <c:txPr>
    <a:bodyPr/>
    <a:lstStyle/>
    <a:p>
      <a:pPr>
        <a:defRPr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fr-F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39"/>
  <c:chart>
    <c:title>
      <c:tx>
        <c:rich>
          <a:bodyPr rot="0" vert="horz"/>
          <a:lstStyle/>
          <a:p>
            <a:pPr>
              <a:defRPr sz="1200">
                <a:solidFill>
                  <a:schemeClr val="accent6">
                    <a:lumMod val="50000"/>
                  </a:schemeClr>
                </a:solidFill>
              </a:defRPr>
            </a:pPr>
            <a:r>
              <a:rPr lang="en-US" sz="1200" cap="all" baseline="0">
                <a:solidFill>
                  <a:schemeClr val="accent6">
                    <a:lumMod val="50000"/>
                  </a:schemeClr>
                </a:solidFill>
              </a:rPr>
              <a:t>Distribution de l'éffort tranchant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dLbls>
            <c:spPr>
              <a:noFill/>
            </c:spPr>
            <c:txPr>
              <a:bodyPr rot="0" vert="horz"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fr-FR"/>
              </a:p>
            </c:txPr>
            <c:dLblPos val="out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'CALCUL RPA'!$B$78:$E$79</c:f>
              <c:multiLvlStrCache>
                <c:ptCount val="4"/>
                <c:lvl>
                  <c:pt idx="0">
                    <c:v>Voiles</c:v>
                  </c:pt>
                  <c:pt idx="1">
                    <c:v>Poteaux</c:v>
                  </c:pt>
                  <c:pt idx="2">
                    <c:v>Voiles</c:v>
                  </c:pt>
                  <c:pt idx="3">
                    <c:v>Poteaux</c:v>
                  </c:pt>
                </c:lvl>
                <c:lvl>
                  <c:pt idx="0">
                    <c:v>Effort Tx</c:v>
                  </c:pt>
                  <c:pt idx="2">
                    <c:v>Effort Ty</c:v>
                  </c:pt>
                </c:lvl>
              </c:multiLvlStrCache>
            </c:multiLvlStrRef>
          </c:cat>
          <c:val>
            <c:numRef>
              <c:f>'CALCUL RPA'!$B$80:$E$80</c:f>
              <c:numCache>
                <c:formatCode>0%</c:formatCode>
                <c:ptCount val="4"/>
                <c:pt idx="0">
                  <c:v>0.58013212071851961</c:v>
                </c:pt>
                <c:pt idx="1">
                  <c:v>0.4198678792814805</c:v>
                </c:pt>
                <c:pt idx="2">
                  <c:v>0.52226931855233127</c:v>
                </c:pt>
                <c:pt idx="3">
                  <c:v>0.47773068144766873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3B9-44BC-A73E-CFC92E7DF53D}"/>
            </c:ext>
          </c:extLst>
        </c:ser>
        <c:dLbls>
          <c:showVal val="1"/>
        </c:dLbls>
        <c:gapWidth val="315"/>
        <c:overlap val="-40"/>
        <c:axId val="95769728"/>
        <c:axId val="95771264"/>
      </c:barChart>
      <c:catAx>
        <c:axId val="95769728"/>
        <c:scaling>
          <c:orientation val="minMax"/>
        </c:scaling>
        <c:axPos val="b"/>
        <c:majorGridlines/>
        <c:numFmt formatCode="General" sourceLinked="0"/>
        <c:majorTickMark val="none"/>
        <c:tickLblPos val="nextTo"/>
        <c:txPr>
          <a:bodyPr rot="-60000000" vert="horz"/>
          <a:lstStyle/>
          <a:p>
            <a:pPr>
              <a:defRPr/>
            </a:pPr>
            <a:endParaRPr lang="fr-FR"/>
          </a:p>
        </c:txPr>
        <c:crossAx val="95771264"/>
        <c:crosses val="autoZero"/>
        <c:auto val="1"/>
        <c:lblAlgn val="ctr"/>
        <c:lblOffset val="100"/>
      </c:catAx>
      <c:valAx>
        <c:axId val="95771264"/>
        <c:scaling>
          <c:orientation val="minMax"/>
        </c:scaling>
        <c:axPos val="l"/>
        <c:majorGridlines/>
        <c:numFmt formatCode="0%" sourceLinked="1"/>
        <c:majorTickMark val="none"/>
        <c:tickLblPos val="nextTo"/>
        <c:txPr>
          <a:bodyPr rot="-60000000" vert="horz"/>
          <a:lstStyle/>
          <a:p>
            <a:pPr>
              <a:defRPr/>
            </a:pPr>
            <a:endParaRPr lang="fr-FR"/>
          </a:p>
        </c:txPr>
        <c:crossAx val="95769728"/>
        <c:crosses val="autoZero"/>
        <c:crossBetween val="between"/>
      </c:valAx>
    </c:plotArea>
    <c:plotVisOnly val="1"/>
    <c:dispBlanksAs val="gap"/>
  </c:chart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4"/>
  <c:chart>
    <c:plotArea>
      <c:layout/>
      <c:scatterChart>
        <c:scatterStyle val="smoothMarker"/>
        <c:ser>
          <c:idx val="0"/>
          <c:order val="0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'SPECTRE Hxy'!$M$9:$M$409</c:f>
              <c:numCache>
                <c:formatCode>0.00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</c:numRef>
          </c:xVal>
          <c:yVal>
            <c:numRef>
              <c:f>'SPECTRE Hxy'!$N$9:$N$409</c:f>
              <c:numCache>
                <c:formatCode>0.0000</c:formatCode>
                <c:ptCount val="401"/>
                <c:pt idx="0">
                  <c:v>4.6670000000000003E-2</c:v>
                </c:pt>
                <c:pt idx="1">
                  <c:v>4.6670000000000003E-2</c:v>
                </c:pt>
                <c:pt idx="2">
                  <c:v>4.6670000000000003E-2</c:v>
                </c:pt>
                <c:pt idx="3">
                  <c:v>4.6670000000000003E-2</c:v>
                </c:pt>
                <c:pt idx="4">
                  <c:v>4.6670000000000003E-2</c:v>
                </c:pt>
                <c:pt idx="5">
                  <c:v>4.6670000000000003E-2</c:v>
                </c:pt>
                <c:pt idx="6">
                  <c:v>4.6670000000000003E-2</c:v>
                </c:pt>
                <c:pt idx="7">
                  <c:v>4.6670000000000003E-2</c:v>
                </c:pt>
                <c:pt idx="8">
                  <c:v>4.6670000000000003E-2</c:v>
                </c:pt>
                <c:pt idx="9">
                  <c:v>4.6670000000000003E-2</c:v>
                </c:pt>
                <c:pt idx="10">
                  <c:v>4.6670000000000003E-2</c:v>
                </c:pt>
                <c:pt idx="11">
                  <c:v>4.6670000000000003E-2</c:v>
                </c:pt>
                <c:pt idx="12">
                  <c:v>4.6670000000000003E-2</c:v>
                </c:pt>
                <c:pt idx="13">
                  <c:v>4.6670000000000003E-2</c:v>
                </c:pt>
                <c:pt idx="14">
                  <c:v>4.6670000000000003E-2</c:v>
                </c:pt>
                <c:pt idx="15">
                  <c:v>4.6670000000000003E-2</c:v>
                </c:pt>
                <c:pt idx="16">
                  <c:v>4.6670000000000003E-2</c:v>
                </c:pt>
                <c:pt idx="17">
                  <c:v>4.6670000000000003E-2</c:v>
                </c:pt>
                <c:pt idx="18">
                  <c:v>4.6670000000000003E-2</c:v>
                </c:pt>
                <c:pt idx="19">
                  <c:v>4.6670000000000003E-2</c:v>
                </c:pt>
                <c:pt idx="20">
                  <c:v>4.6670000000000003E-2</c:v>
                </c:pt>
                <c:pt idx="21">
                  <c:v>4.6670000000000003E-2</c:v>
                </c:pt>
                <c:pt idx="22">
                  <c:v>4.6670000000000003E-2</c:v>
                </c:pt>
                <c:pt idx="23">
                  <c:v>4.6670000000000003E-2</c:v>
                </c:pt>
                <c:pt idx="24">
                  <c:v>4.6670000000000003E-2</c:v>
                </c:pt>
                <c:pt idx="25">
                  <c:v>4.6670000000000003E-2</c:v>
                </c:pt>
                <c:pt idx="26">
                  <c:v>4.487E-2</c:v>
                </c:pt>
                <c:pt idx="27">
                  <c:v>4.3209999999999998E-2</c:v>
                </c:pt>
                <c:pt idx="28">
                  <c:v>4.1669999999999999E-2</c:v>
                </c:pt>
                <c:pt idx="29">
                  <c:v>4.0230000000000002E-2</c:v>
                </c:pt>
                <c:pt idx="30">
                  <c:v>3.8890000000000001E-2</c:v>
                </c:pt>
                <c:pt idx="31">
                  <c:v>3.7629999999999997E-2</c:v>
                </c:pt>
                <c:pt idx="32">
                  <c:v>3.6459999999999999E-2</c:v>
                </c:pt>
                <c:pt idx="33">
                  <c:v>3.5349999999999999E-2</c:v>
                </c:pt>
                <c:pt idx="34">
                  <c:v>3.431E-2</c:v>
                </c:pt>
                <c:pt idx="35">
                  <c:v>3.3329999999999999E-2</c:v>
                </c:pt>
                <c:pt idx="36">
                  <c:v>3.2410000000000001E-2</c:v>
                </c:pt>
                <c:pt idx="37">
                  <c:v>3.1530000000000002E-2</c:v>
                </c:pt>
                <c:pt idx="38">
                  <c:v>3.0700000000000002E-2</c:v>
                </c:pt>
                <c:pt idx="39">
                  <c:v>2.9909999999999999E-2</c:v>
                </c:pt>
                <c:pt idx="40">
                  <c:v>2.9170000000000001E-2</c:v>
                </c:pt>
                <c:pt idx="41">
                  <c:v>2.8459999999999999E-2</c:v>
                </c:pt>
                <c:pt idx="42">
                  <c:v>2.7779999999999999E-2</c:v>
                </c:pt>
                <c:pt idx="43">
                  <c:v>2.7130000000000001E-2</c:v>
                </c:pt>
                <c:pt idx="44">
                  <c:v>2.6519999999999998E-2</c:v>
                </c:pt>
                <c:pt idx="45">
                  <c:v>2.5930000000000002E-2</c:v>
                </c:pt>
                <c:pt idx="46">
                  <c:v>2.5360000000000001E-2</c:v>
                </c:pt>
                <c:pt idx="47">
                  <c:v>2.4819999999999998E-2</c:v>
                </c:pt>
                <c:pt idx="48">
                  <c:v>2.4309999999999998E-2</c:v>
                </c:pt>
                <c:pt idx="49">
                  <c:v>2.3810000000000001E-2</c:v>
                </c:pt>
                <c:pt idx="50">
                  <c:v>2.333E-2</c:v>
                </c:pt>
                <c:pt idx="51">
                  <c:v>2.2880000000000001E-2</c:v>
                </c:pt>
                <c:pt idx="52">
                  <c:v>2.2440000000000002E-2</c:v>
                </c:pt>
                <c:pt idx="53">
                  <c:v>2.2009999999999998E-2</c:v>
                </c:pt>
                <c:pt idx="54">
                  <c:v>2.1600000000000001E-2</c:v>
                </c:pt>
                <c:pt idx="55">
                  <c:v>2.121E-2</c:v>
                </c:pt>
                <c:pt idx="56">
                  <c:v>2.0830000000000001E-2</c:v>
                </c:pt>
                <c:pt idx="57">
                  <c:v>2.0469999999999999E-2</c:v>
                </c:pt>
                <c:pt idx="58">
                  <c:v>2.0109999999999999E-2</c:v>
                </c:pt>
                <c:pt idx="59">
                  <c:v>1.9769999999999999E-2</c:v>
                </c:pt>
                <c:pt idx="60">
                  <c:v>1.9439999999999999E-2</c:v>
                </c:pt>
                <c:pt idx="61">
                  <c:v>1.9130000000000001E-2</c:v>
                </c:pt>
                <c:pt idx="62">
                  <c:v>1.882E-2</c:v>
                </c:pt>
                <c:pt idx="63">
                  <c:v>1.8519999999999998E-2</c:v>
                </c:pt>
                <c:pt idx="64">
                  <c:v>1.823E-2</c:v>
                </c:pt>
                <c:pt idx="65">
                  <c:v>1.7950000000000001E-2</c:v>
                </c:pt>
                <c:pt idx="66">
                  <c:v>1.7680000000000001E-2</c:v>
                </c:pt>
                <c:pt idx="67">
                  <c:v>1.7409999999999998E-2</c:v>
                </c:pt>
                <c:pt idx="68">
                  <c:v>1.7160000000000002E-2</c:v>
                </c:pt>
                <c:pt idx="69">
                  <c:v>1.6910000000000001E-2</c:v>
                </c:pt>
                <c:pt idx="70">
                  <c:v>1.6670000000000001E-2</c:v>
                </c:pt>
                <c:pt idx="71">
                  <c:v>1.643E-2</c:v>
                </c:pt>
                <c:pt idx="72">
                  <c:v>1.6199999999999999E-2</c:v>
                </c:pt>
                <c:pt idx="73">
                  <c:v>1.5980000000000001E-2</c:v>
                </c:pt>
                <c:pt idx="74">
                  <c:v>1.5769999999999999E-2</c:v>
                </c:pt>
                <c:pt idx="75">
                  <c:v>1.5559999999999999E-2</c:v>
                </c:pt>
                <c:pt idx="76">
                  <c:v>1.5350000000000001E-2</c:v>
                </c:pt>
                <c:pt idx="77">
                  <c:v>1.515E-2</c:v>
                </c:pt>
                <c:pt idx="78">
                  <c:v>1.4959999999999999E-2</c:v>
                </c:pt>
                <c:pt idx="79">
                  <c:v>1.477E-2</c:v>
                </c:pt>
                <c:pt idx="80">
                  <c:v>1.4579999999999999E-2</c:v>
                </c:pt>
                <c:pt idx="81">
                  <c:v>1.44E-2</c:v>
                </c:pt>
                <c:pt idx="82">
                  <c:v>1.423E-2</c:v>
                </c:pt>
                <c:pt idx="83">
                  <c:v>1.406E-2</c:v>
                </c:pt>
                <c:pt idx="84">
                  <c:v>1.4E-2</c:v>
                </c:pt>
                <c:pt idx="85">
                  <c:v>1.4E-2</c:v>
                </c:pt>
                <c:pt idx="86">
                  <c:v>1.4E-2</c:v>
                </c:pt>
                <c:pt idx="87">
                  <c:v>1.4E-2</c:v>
                </c:pt>
                <c:pt idx="88">
                  <c:v>1.4E-2</c:v>
                </c:pt>
                <c:pt idx="89">
                  <c:v>1.4E-2</c:v>
                </c:pt>
                <c:pt idx="90">
                  <c:v>1.4E-2</c:v>
                </c:pt>
                <c:pt idx="91">
                  <c:v>1.4E-2</c:v>
                </c:pt>
                <c:pt idx="92">
                  <c:v>1.4E-2</c:v>
                </c:pt>
                <c:pt idx="93">
                  <c:v>1.4E-2</c:v>
                </c:pt>
                <c:pt idx="94">
                  <c:v>1.4E-2</c:v>
                </c:pt>
                <c:pt idx="95">
                  <c:v>1.4E-2</c:v>
                </c:pt>
                <c:pt idx="96">
                  <c:v>1.4E-2</c:v>
                </c:pt>
                <c:pt idx="97">
                  <c:v>1.4E-2</c:v>
                </c:pt>
                <c:pt idx="98">
                  <c:v>1.4E-2</c:v>
                </c:pt>
                <c:pt idx="99">
                  <c:v>1.4E-2</c:v>
                </c:pt>
                <c:pt idx="100">
                  <c:v>1.4E-2</c:v>
                </c:pt>
                <c:pt idx="101">
                  <c:v>1.4E-2</c:v>
                </c:pt>
                <c:pt idx="102">
                  <c:v>1.4E-2</c:v>
                </c:pt>
                <c:pt idx="103">
                  <c:v>1.4E-2</c:v>
                </c:pt>
                <c:pt idx="104">
                  <c:v>1.4E-2</c:v>
                </c:pt>
                <c:pt idx="105">
                  <c:v>1.4E-2</c:v>
                </c:pt>
                <c:pt idx="106">
                  <c:v>1.4E-2</c:v>
                </c:pt>
                <c:pt idx="107">
                  <c:v>1.4E-2</c:v>
                </c:pt>
                <c:pt idx="108">
                  <c:v>1.4E-2</c:v>
                </c:pt>
                <c:pt idx="109">
                  <c:v>1.4E-2</c:v>
                </c:pt>
                <c:pt idx="110">
                  <c:v>1.4E-2</c:v>
                </c:pt>
                <c:pt idx="111">
                  <c:v>1.4E-2</c:v>
                </c:pt>
                <c:pt idx="112">
                  <c:v>1.4E-2</c:v>
                </c:pt>
                <c:pt idx="113">
                  <c:v>1.4E-2</c:v>
                </c:pt>
                <c:pt idx="114">
                  <c:v>1.4E-2</c:v>
                </c:pt>
                <c:pt idx="115">
                  <c:v>1.4E-2</c:v>
                </c:pt>
                <c:pt idx="116">
                  <c:v>1.4E-2</c:v>
                </c:pt>
                <c:pt idx="117">
                  <c:v>1.4E-2</c:v>
                </c:pt>
                <c:pt idx="118">
                  <c:v>1.4E-2</c:v>
                </c:pt>
                <c:pt idx="119">
                  <c:v>1.4E-2</c:v>
                </c:pt>
                <c:pt idx="120">
                  <c:v>1.4E-2</c:v>
                </c:pt>
                <c:pt idx="121">
                  <c:v>1.4E-2</c:v>
                </c:pt>
                <c:pt idx="122">
                  <c:v>1.4E-2</c:v>
                </c:pt>
                <c:pt idx="123">
                  <c:v>1.4E-2</c:v>
                </c:pt>
                <c:pt idx="124">
                  <c:v>1.4E-2</c:v>
                </c:pt>
                <c:pt idx="125">
                  <c:v>1.4E-2</c:v>
                </c:pt>
                <c:pt idx="126">
                  <c:v>1.4E-2</c:v>
                </c:pt>
                <c:pt idx="127">
                  <c:v>1.4E-2</c:v>
                </c:pt>
                <c:pt idx="128">
                  <c:v>1.4E-2</c:v>
                </c:pt>
                <c:pt idx="129">
                  <c:v>1.4E-2</c:v>
                </c:pt>
                <c:pt idx="130">
                  <c:v>1.4E-2</c:v>
                </c:pt>
                <c:pt idx="131">
                  <c:v>1.4E-2</c:v>
                </c:pt>
                <c:pt idx="132">
                  <c:v>1.4E-2</c:v>
                </c:pt>
                <c:pt idx="133">
                  <c:v>1.4E-2</c:v>
                </c:pt>
                <c:pt idx="134">
                  <c:v>1.4E-2</c:v>
                </c:pt>
                <c:pt idx="135">
                  <c:v>1.4E-2</c:v>
                </c:pt>
                <c:pt idx="136">
                  <c:v>1.4E-2</c:v>
                </c:pt>
                <c:pt idx="137">
                  <c:v>1.4E-2</c:v>
                </c:pt>
                <c:pt idx="138">
                  <c:v>1.4E-2</c:v>
                </c:pt>
                <c:pt idx="139">
                  <c:v>1.4E-2</c:v>
                </c:pt>
                <c:pt idx="140">
                  <c:v>1.4E-2</c:v>
                </c:pt>
                <c:pt idx="141">
                  <c:v>1.4E-2</c:v>
                </c:pt>
                <c:pt idx="142">
                  <c:v>1.4E-2</c:v>
                </c:pt>
                <c:pt idx="143">
                  <c:v>1.4E-2</c:v>
                </c:pt>
                <c:pt idx="144">
                  <c:v>1.4E-2</c:v>
                </c:pt>
                <c:pt idx="145">
                  <c:v>1.4E-2</c:v>
                </c:pt>
                <c:pt idx="146">
                  <c:v>1.4E-2</c:v>
                </c:pt>
                <c:pt idx="147">
                  <c:v>1.4E-2</c:v>
                </c:pt>
                <c:pt idx="148">
                  <c:v>1.4E-2</c:v>
                </c:pt>
                <c:pt idx="149">
                  <c:v>1.4E-2</c:v>
                </c:pt>
                <c:pt idx="150">
                  <c:v>1.4E-2</c:v>
                </c:pt>
                <c:pt idx="151">
                  <c:v>1.4E-2</c:v>
                </c:pt>
                <c:pt idx="152">
                  <c:v>1.4E-2</c:v>
                </c:pt>
                <c:pt idx="153">
                  <c:v>1.4E-2</c:v>
                </c:pt>
                <c:pt idx="154">
                  <c:v>1.4E-2</c:v>
                </c:pt>
                <c:pt idx="155">
                  <c:v>1.4E-2</c:v>
                </c:pt>
                <c:pt idx="156">
                  <c:v>1.4E-2</c:v>
                </c:pt>
                <c:pt idx="157">
                  <c:v>1.4E-2</c:v>
                </c:pt>
                <c:pt idx="158">
                  <c:v>1.4E-2</c:v>
                </c:pt>
                <c:pt idx="159">
                  <c:v>1.4E-2</c:v>
                </c:pt>
                <c:pt idx="160">
                  <c:v>1.4E-2</c:v>
                </c:pt>
                <c:pt idx="161">
                  <c:v>1.4E-2</c:v>
                </c:pt>
                <c:pt idx="162">
                  <c:v>1.4E-2</c:v>
                </c:pt>
                <c:pt idx="163">
                  <c:v>1.4E-2</c:v>
                </c:pt>
                <c:pt idx="164">
                  <c:v>1.4E-2</c:v>
                </c:pt>
                <c:pt idx="165">
                  <c:v>1.4E-2</c:v>
                </c:pt>
                <c:pt idx="166">
                  <c:v>1.4E-2</c:v>
                </c:pt>
                <c:pt idx="167">
                  <c:v>1.4E-2</c:v>
                </c:pt>
                <c:pt idx="168">
                  <c:v>1.4E-2</c:v>
                </c:pt>
                <c:pt idx="169">
                  <c:v>1.4E-2</c:v>
                </c:pt>
                <c:pt idx="170">
                  <c:v>1.4E-2</c:v>
                </c:pt>
                <c:pt idx="171">
                  <c:v>1.4E-2</c:v>
                </c:pt>
                <c:pt idx="172">
                  <c:v>1.4E-2</c:v>
                </c:pt>
                <c:pt idx="173">
                  <c:v>1.4E-2</c:v>
                </c:pt>
                <c:pt idx="174">
                  <c:v>1.4E-2</c:v>
                </c:pt>
                <c:pt idx="175">
                  <c:v>1.4E-2</c:v>
                </c:pt>
                <c:pt idx="176">
                  <c:v>1.4E-2</c:v>
                </c:pt>
                <c:pt idx="177">
                  <c:v>1.4E-2</c:v>
                </c:pt>
                <c:pt idx="178">
                  <c:v>1.4E-2</c:v>
                </c:pt>
                <c:pt idx="179">
                  <c:v>1.4E-2</c:v>
                </c:pt>
                <c:pt idx="180">
                  <c:v>1.4E-2</c:v>
                </c:pt>
                <c:pt idx="181">
                  <c:v>1.4E-2</c:v>
                </c:pt>
                <c:pt idx="182">
                  <c:v>1.4E-2</c:v>
                </c:pt>
                <c:pt idx="183">
                  <c:v>1.4E-2</c:v>
                </c:pt>
                <c:pt idx="184">
                  <c:v>1.4E-2</c:v>
                </c:pt>
                <c:pt idx="185">
                  <c:v>1.4E-2</c:v>
                </c:pt>
                <c:pt idx="186">
                  <c:v>1.4E-2</c:v>
                </c:pt>
                <c:pt idx="187">
                  <c:v>1.4E-2</c:v>
                </c:pt>
                <c:pt idx="188">
                  <c:v>1.4E-2</c:v>
                </c:pt>
                <c:pt idx="189">
                  <c:v>1.4E-2</c:v>
                </c:pt>
                <c:pt idx="190">
                  <c:v>1.4E-2</c:v>
                </c:pt>
                <c:pt idx="191">
                  <c:v>1.4E-2</c:v>
                </c:pt>
                <c:pt idx="192">
                  <c:v>1.4E-2</c:v>
                </c:pt>
                <c:pt idx="193">
                  <c:v>1.4E-2</c:v>
                </c:pt>
                <c:pt idx="194">
                  <c:v>1.4E-2</c:v>
                </c:pt>
                <c:pt idx="195">
                  <c:v>1.4E-2</c:v>
                </c:pt>
                <c:pt idx="196">
                  <c:v>1.4E-2</c:v>
                </c:pt>
                <c:pt idx="197">
                  <c:v>1.4E-2</c:v>
                </c:pt>
                <c:pt idx="198">
                  <c:v>1.4E-2</c:v>
                </c:pt>
                <c:pt idx="199">
                  <c:v>1.4E-2</c:v>
                </c:pt>
                <c:pt idx="200">
                  <c:v>1.4E-2</c:v>
                </c:pt>
                <c:pt idx="201">
                  <c:v>1.4E-2</c:v>
                </c:pt>
                <c:pt idx="202">
                  <c:v>1.4E-2</c:v>
                </c:pt>
                <c:pt idx="203">
                  <c:v>1.4E-2</c:v>
                </c:pt>
                <c:pt idx="204">
                  <c:v>1.4E-2</c:v>
                </c:pt>
                <c:pt idx="205">
                  <c:v>1.4E-2</c:v>
                </c:pt>
                <c:pt idx="206">
                  <c:v>1.4E-2</c:v>
                </c:pt>
                <c:pt idx="207">
                  <c:v>1.4E-2</c:v>
                </c:pt>
                <c:pt idx="208">
                  <c:v>1.4E-2</c:v>
                </c:pt>
                <c:pt idx="209">
                  <c:v>1.4E-2</c:v>
                </c:pt>
                <c:pt idx="210">
                  <c:v>1.4E-2</c:v>
                </c:pt>
                <c:pt idx="211">
                  <c:v>1.4E-2</c:v>
                </c:pt>
                <c:pt idx="212">
                  <c:v>1.4E-2</c:v>
                </c:pt>
                <c:pt idx="213">
                  <c:v>1.4E-2</c:v>
                </c:pt>
                <c:pt idx="214">
                  <c:v>1.4E-2</c:v>
                </c:pt>
                <c:pt idx="215">
                  <c:v>1.4E-2</c:v>
                </c:pt>
                <c:pt idx="216">
                  <c:v>1.4E-2</c:v>
                </c:pt>
                <c:pt idx="217">
                  <c:v>1.4E-2</c:v>
                </c:pt>
                <c:pt idx="218">
                  <c:v>1.4E-2</c:v>
                </c:pt>
                <c:pt idx="219">
                  <c:v>1.4E-2</c:v>
                </c:pt>
                <c:pt idx="220">
                  <c:v>1.4E-2</c:v>
                </c:pt>
                <c:pt idx="221">
                  <c:v>1.4E-2</c:v>
                </c:pt>
                <c:pt idx="222">
                  <c:v>1.4E-2</c:v>
                </c:pt>
                <c:pt idx="223">
                  <c:v>1.4E-2</c:v>
                </c:pt>
                <c:pt idx="224">
                  <c:v>1.4E-2</c:v>
                </c:pt>
                <c:pt idx="225">
                  <c:v>1.4E-2</c:v>
                </c:pt>
                <c:pt idx="226">
                  <c:v>1.4E-2</c:v>
                </c:pt>
                <c:pt idx="227">
                  <c:v>1.4E-2</c:v>
                </c:pt>
                <c:pt idx="228">
                  <c:v>1.4E-2</c:v>
                </c:pt>
                <c:pt idx="229">
                  <c:v>1.4E-2</c:v>
                </c:pt>
                <c:pt idx="230">
                  <c:v>1.4E-2</c:v>
                </c:pt>
                <c:pt idx="231">
                  <c:v>1.4E-2</c:v>
                </c:pt>
                <c:pt idx="232">
                  <c:v>1.4E-2</c:v>
                </c:pt>
                <c:pt idx="233">
                  <c:v>1.4E-2</c:v>
                </c:pt>
                <c:pt idx="234">
                  <c:v>1.4E-2</c:v>
                </c:pt>
                <c:pt idx="235">
                  <c:v>1.4E-2</c:v>
                </c:pt>
                <c:pt idx="236">
                  <c:v>1.4E-2</c:v>
                </c:pt>
                <c:pt idx="237">
                  <c:v>1.4E-2</c:v>
                </c:pt>
                <c:pt idx="238">
                  <c:v>1.4E-2</c:v>
                </c:pt>
                <c:pt idx="239">
                  <c:v>1.4E-2</c:v>
                </c:pt>
                <c:pt idx="240">
                  <c:v>1.4E-2</c:v>
                </c:pt>
                <c:pt idx="241">
                  <c:v>1.4E-2</c:v>
                </c:pt>
                <c:pt idx="242">
                  <c:v>1.4E-2</c:v>
                </c:pt>
                <c:pt idx="243">
                  <c:v>1.4E-2</c:v>
                </c:pt>
                <c:pt idx="244">
                  <c:v>1.4E-2</c:v>
                </c:pt>
                <c:pt idx="245">
                  <c:v>1.4E-2</c:v>
                </c:pt>
                <c:pt idx="246">
                  <c:v>1.4E-2</c:v>
                </c:pt>
                <c:pt idx="247">
                  <c:v>1.4E-2</c:v>
                </c:pt>
                <c:pt idx="248">
                  <c:v>1.4E-2</c:v>
                </c:pt>
                <c:pt idx="249">
                  <c:v>1.4E-2</c:v>
                </c:pt>
                <c:pt idx="250">
                  <c:v>1.4E-2</c:v>
                </c:pt>
                <c:pt idx="251">
                  <c:v>1.4E-2</c:v>
                </c:pt>
                <c:pt idx="252">
                  <c:v>1.4E-2</c:v>
                </c:pt>
                <c:pt idx="253">
                  <c:v>1.4E-2</c:v>
                </c:pt>
                <c:pt idx="254">
                  <c:v>1.4E-2</c:v>
                </c:pt>
                <c:pt idx="255">
                  <c:v>1.4E-2</c:v>
                </c:pt>
                <c:pt idx="256">
                  <c:v>1.4E-2</c:v>
                </c:pt>
                <c:pt idx="257">
                  <c:v>1.4E-2</c:v>
                </c:pt>
                <c:pt idx="258">
                  <c:v>1.4E-2</c:v>
                </c:pt>
                <c:pt idx="259">
                  <c:v>1.4E-2</c:v>
                </c:pt>
                <c:pt idx="260">
                  <c:v>1.4E-2</c:v>
                </c:pt>
                <c:pt idx="261">
                  <c:v>1.4E-2</c:v>
                </c:pt>
                <c:pt idx="262">
                  <c:v>1.4E-2</c:v>
                </c:pt>
                <c:pt idx="263">
                  <c:v>1.4E-2</c:v>
                </c:pt>
                <c:pt idx="264">
                  <c:v>1.4E-2</c:v>
                </c:pt>
                <c:pt idx="265">
                  <c:v>1.4E-2</c:v>
                </c:pt>
                <c:pt idx="266">
                  <c:v>1.4E-2</c:v>
                </c:pt>
                <c:pt idx="267">
                  <c:v>1.4E-2</c:v>
                </c:pt>
                <c:pt idx="268">
                  <c:v>1.4E-2</c:v>
                </c:pt>
                <c:pt idx="269">
                  <c:v>1.4E-2</c:v>
                </c:pt>
                <c:pt idx="270">
                  <c:v>1.4E-2</c:v>
                </c:pt>
                <c:pt idx="271">
                  <c:v>1.4E-2</c:v>
                </c:pt>
                <c:pt idx="272">
                  <c:v>1.4E-2</c:v>
                </c:pt>
                <c:pt idx="273">
                  <c:v>1.4E-2</c:v>
                </c:pt>
                <c:pt idx="274">
                  <c:v>1.4E-2</c:v>
                </c:pt>
                <c:pt idx="275">
                  <c:v>1.4E-2</c:v>
                </c:pt>
                <c:pt idx="276">
                  <c:v>1.4E-2</c:v>
                </c:pt>
                <c:pt idx="277">
                  <c:v>1.4E-2</c:v>
                </c:pt>
                <c:pt idx="278">
                  <c:v>1.4E-2</c:v>
                </c:pt>
                <c:pt idx="279">
                  <c:v>1.4E-2</c:v>
                </c:pt>
                <c:pt idx="280">
                  <c:v>1.4E-2</c:v>
                </c:pt>
                <c:pt idx="281">
                  <c:v>1.4E-2</c:v>
                </c:pt>
                <c:pt idx="282">
                  <c:v>1.4E-2</c:v>
                </c:pt>
                <c:pt idx="283">
                  <c:v>1.4E-2</c:v>
                </c:pt>
                <c:pt idx="284">
                  <c:v>1.4E-2</c:v>
                </c:pt>
                <c:pt idx="285">
                  <c:v>1.4E-2</c:v>
                </c:pt>
                <c:pt idx="286">
                  <c:v>1.4E-2</c:v>
                </c:pt>
                <c:pt idx="287">
                  <c:v>1.4E-2</c:v>
                </c:pt>
                <c:pt idx="288">
                  <c:v>1.4E-2</c:v>
                </c:pt>
                <c:pt idx="289">
                  <c:v>1.4E-2</c:v>
                </c:pt>
                <c:pt idx="290">
                  <c:v>1.4E-2</c:v>
                </c:pt>
                <c:pt idx="291">
                  <c:v>1.4E-2</c:v>
                </c:pt>
                <c:pt idx="292">
                  <c:v>1.4E-2</c:v>
                </c:pt>
                <c:pt idx="293">
                  <c:v>1.4E-2</c:v>
                </c:pt>
                <c:pt idx="294">
                  <c:v>1.4E-2</c:v>
                </c:pt>
                <c:pt idx="295">
                  <c:v>1.4E-2</c:v>
                </c:pt>
                <c:pt idx="296">
                  <c:v>1.4E-2</c:v>
                </c:pt>
                <c:pt idx="297">
                  <c:v>1.4E-2</c:v>
                </c:pt>
                <c:pt idx="298">
                  <c:v>1.4E-2</c:v>
                </c:pt>
                <c:pt idx="299">
                  <c:v>1.4E-2</c:v>
                </c:pt>
                <c:pt idx="300">
                  <c:v>1.4E-2</c:v>
                </c:pt>
                <c:pt idx="301">
                  <c:v>1.4E-2</c:v>
                </c:pt>
                <c:pt idx="302">
                  <c:v>1.4E-2</c:v>
                </c:pt>
                <c:pt idx="303">
                  <c:v>1.4E-2</c:v>
                </c:pt>
                <c:pt idx="304">
                  <c:v>1.4E-2</c:v>
                </c:pt>
                <c:pt idx="305">
                  <c:v>1.4E-2</c:v>
                </c:pt>
                <c:pt idx="306">
                  <c:v>1.4E-2</c:v>
                </c:pt>
                <c:pt idx="307">
                  <c:v>1.4E-2</c:v>
                </c:pt>
                <c:pt idx="308">
                  <c:v>1.4E-2</c:v>
                </c:pt>
                <c:pt idx="309">
                  <c:v>1.4E-2</c:v>
                </c:pt>
                <c:pt idx="310">
                  <c:v>1.4E-2</c:v>
                </c:pt>
                <c:pt idx="311">
                  <c:v>1.4E-2</c:v>
                </c:pt>
                <c:pt idx="312">
                  <c:v>1.4E-2</c:v>
                </c:pt>
                <c:pt idx="313">
                  <c:v>1.4E-2</c:v>
                </c:pt>
                <c:pt idx="314">
                  <c:v>1.4E-2</c:v>
                </c:pt>
                <c:pt idx="315">
                  <c:v>1.4E-2</c:v>
                </c:pt>
                <c:pt idx="316">
                  <c:v>1.4E-2</c:v>
                </c:pt>
                <c:pt idx="317">
                  <c:v>1.4E-2</c:v>
                </c:pt>
                <c:pt idx="318">
                  <c:v>1.4E-2</c:v>
                </c:pt>
                <c:pt idx="319">
                  <c:v>1.4E-2</c:v>
                </c:pt>
                <c:pt idx="320">
                  <c:v>1.4E-2</c:v>
                </c:pt>
                <c:pt idx="321">
                  <c:v>1.4E-2</c:v>
                </c:pt>
                <c:pt idx="322">
                  <c:v>1.4E-2</c:v>
                </c:pt>
                <c:pt idx="323">
                  <c:v>1.4E-2</c:v>
                </c:pt>
                <c:pt idx="324">
                  <c:v>1.4E-2</c:v>
                </c:pt>
                <c:pt idx="325">
                  <c:v>1.4E-2</c:v>
                </c:pt>
                <c:pt idx="326">
                  <c:v>1.4E-2</c:v>
                </c:pt>
                <c:pt idx="327">
                  <c:v>1.4E-2</c:v>
                </c:pt>
                <c:pt idx="328">
                  <c:v>1.4E-2</c:v>
                </c:pt>
                <c:pt idx="329">
                  <c:v>1.4E-2</c:v>
                </c:pt>
                <c:pt idx="330">
                  <c:v>1.4E-2</c:v>
                </c:pt>
                <c:pt idx="331">
                  <c:v>1.4E-2</c:v>
                </c:pt>
                <c:pt idx="332">
                  <c:v>1.4E-2</c:v>
                </c:pt>
                <c:pt idx="333">
                  <c:v>1.4E-2</c:v>
                </c:pt>
                <c:pt idx="334">
                  <c:v>1.4E-2</c:v>
                </c:pt>
                <c:pt idx="335">
                  <c:v>1.4E-2</c:v>
                </c:pt>
                <c:pt idx="336">
                  <c:v>1.4E-2</c:v>
                </c:pt>
                <c:pt idx="337">
                  <c:v>1.4E-2</c:v>
                </c:pt>
                <c:pt idx="338">
                  <c:v>1.4E-2</c:v>
                </c:pt>
                <c:pt idx="339">
                  <c:v>1.4E-2</c:v>
                </c:pt>
                <c:pt idx="340">
                  <c:v>1.4E-2</c:v>
                </c:pt>
                <c:pt idx="341">
                  <c:v>1.4E-2</c:v>
                </c:pt>
                <c:pt idx="342">
                  <c:v>1.4E-2</c:v>
                </c:pt>
                <c:pt idx="343">
                  <c:v>1.4E-2</c:v>
                </c:pt>
                <c:pt idx="344">
                  <c:v>1.4E-2</c:v>
                </c:pt>
                <c:pt idx="345">
                  <c:v>1.4E-2</c:v>
                </c:pt>
                <c:pt idx="346">
                  <c:v>1.4E-2</c:v>
                </c:pt>
                <c:pt idx="347">
                  <c:v>1.4E-2</c:v>
                </c:pt>
                <c:pt idx="348">
                  <c:v>1.4E-2</c:v>
                </c:pt>
                <c:pt idx="349">
                  <c:v>1.4E-2</c:v>
                </c:pt>
                <c:pt idx="350">
                  <c:v>1.4E-2</c:v>
                </c:pt>
                <c:pt idx="351">
                  <c:v>1.4E-2</c:v>
                </c:pt>
                <c:pt idx="352">
                  <c:v>1.4E-2</c:v>
                </c:pt>
                <c:pt idx="353">
                  <c:v>1.4E-2</c:v>
                </c:pt>
                <c:pt idx="354">
                  <c:v>1.4E-2</c:v>
                </c:pt>
                <c:pt idx="355">
                  <c:v>1.4E-2</c:v>
                </c:pt>
                <c:pt idx="356">
                  <c:v>1.4E-2</c:v>
                </c:pt>
                <c:pt idx="357">
                  <c:v>1.4E-2</c:v>
                </c:pt>
                <c:pt idx="358">
                  <c:v>1.4E-2</c:v>
                </c:pt>
                <c:pt idx="359">
                  <c:v>1.4E-2</c:v>
                </c:pt>
                <c:pt idx="360">
                  <c:v>1.4E-2</c:v>
                </c:pt>
                <c:pt idx="361">
                  <c:v>1.4E-2</c:v>
                </c:pt>
                <c:pt idx="362">
                  <c:v>1.4E-2</c:v>
                </c:pt>
                <c:pt idx="363">
                  <c:v>1.4E-2</c:v>
                </c:pt>
                <c:pt idx="364">
                  <c:v>1.4E-2</c:v>
                </c:pt>
                <c:pt idx="365">
                  <c:v>1.4E-2</c:v>
                </c:pt>
                <c:pt idx="366">
                  <c:v>1.4E-2</c:v>
                </c:pt>
                <c:pt idx="367">
                  <c:v>1.4E-2</c:v>
                </c:pt>
                <c:pt idx="368">
                  <c:v>1.4E-2</c:v>
                </c:pt>
                <c:pt idx="369">
                  <c:v>1.4E-2</c:v>
                </c:pt>
                <c:pt idx="370">
                  <c:v>1.4E-2</c:v>
                </c:pt>
                <c:pt idx="371">
                  <c:v>1.4E-2</c:v>
                </c:pt>
                <c:pt idx="372">
                  <c:v>1.4E-2</c:v>
                </c:pt>
                <c:pt idx="373">
                  <c:v>1.4E-2</c:v>
                </c:pt>
                <c:pt idx="374">
                  <c:v>1.4E-2</c:v>
                </c:pt>
                <c:pt idx="375">
                  <c:v>1.4E-2</c:v>
                </c:pt>
                <c:pt idx="376">
                  <c:v>1.4E-2</c:v>
                </c:pt>
                <c:pt idx="377">
                  <c:v>1.4E-2</c:v>
                </c:pt>
                <c:pt idx="378">
                  <c:v>1.4E-2</c:v>
                </c:pt>
                <c:pt idx="379">
                  <c:v>1.4E-2</c:v>
                </c:pt>
                <c:pt idx="380">
                  <c:v>1.4E-2</c:v>
                </c:pt>
                <c:pt idx="381">
                  <c:v>1.4E-2</c:v>
                </c:pt>
                <c:pt idx="382">
                  <c:v>1.4E-2</c:v>
                </c:pt>
                <c:pt idx="383">
                  <c:v>1.4E-2</c:v>
                </c:pt>
                <c:pt idx="384">
                  <c:v>1.4E-2</c:v>
                </c:pt>
                <c:pt idx="385">
                  <c:v>1.4E-2</c:v>
                </c:pt>
                <c:pt idx="386">
                  <c:v>1.4E-2</c:v>
                </c:pt>
                <c:pt idx="387">
                  <c:v>1.4E-2</c:v>
                </c:pt>
                <c:pt idx="388">
                  <c:v>1.4E-2</c:v>
                </c:pt>
                <c:pt idx="389">
                  <c:v>1.4E-2</c:v>
                </c:pt>
                <c:pt idx="390">
                  <c:v>1.4E-2</c:v>
                </c:pt>
                <c:pt idx="391">
                  <c:v>1.4E-2</c:v>
                </c:pt>
                <c:pt idx="392">
                  <c:v>1.4E-2</c:v>
                </c:pt>
                <c:pt idx="393">
                  <c:v>1.4E-2</c:v>
                </c:pt>
                <c:pt idx="394">
                  <c:v>1.4E-2</c:v>
                </c:pt>
                <c:pt idx="395">
                  <c:v>1.4E-2</c:v>
                </c:pt>
                <c:pt idx="396">
                  <c:v>1.4E-2</c:v>
                </c:pt>
                <c:pt idx="397">
                  <c:v>1.4E-2</c:v>
                </c:pt>
                <c:pt idx="398">
                  <c:v>1.4E-2</c:v>
                </c:pt>
                <c:pt idx="399">
                  <c:v>1.4E-2</c:v>
                </c:pt>
                <c:pt idx="400">
                  <c:v>1.4E-2</c:v>
                </c:pt>
              </c:numCache>
            </c:numRef>
          </c:yVal>
          <c:smooth val="1"/>
        </c:ser>
        <c:axId val="102362496"/>
        <c:axId val="95163904"/>
      </c:scatterChart>
      <c:valAx>
        <c:axId val="102362496"/>
        <c:scaling>
          <c:orientation val="minMax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 (T) (S)</a:t>
                </a:r>
              </a:p>
            </c:rich>
          </c:tx>
        </c:title>
        <c:numFmt formatCode="0.00" sourceLinked="1"/>
        <c:tickLblPos val="nextTo"/>
        <c:crossAx val="95163904"/>
        <c:crosses val="autoZero"/>
        <c:crossBetween val="midCat"/>
      </c:valAx>
      <c:valAx>
        <c:axId val="95163904"/>
        <c:scaling>
          <c:orientation val="minMax"/>
        </c:scaling>
        <c:axPos val="l"/>
        <c:majorGridlines/>
        <c:minorGridlines>
          <c:spPr>
            <a:ln>
              <a:solidFill>
                <a:schemeClr val="tx2">
                  <a:lumMod val="20000"/>
                  <a:lumOff val="80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Sad/g (T)</a:t>
                </a:r>
              </a:p>
            </c:rich>
          </c:tx>
        </c:title>
        <c:numFmt formatCode="0.0000" sourceLinked="1"/>
        <c:tickLblPos val="nextTo"/>
        <c:crossAx val="102362496"/>
        <c:crosses val="autoZero"/>
        <c:crossBetween val="midCat"/>
      </c:valAx>
    </c:plotArea>
    <c:plotVisOnly val="1"/>
  </c:chart>
  <c:spPr>
    <a:noFill/>
    <a:ln>
      <a:noFill/>
    </a:ln>
  </c:spPr>
  <c:txPr>
    <a:bodyPr/>
    <a:lstStyle/>
    <a:p>
      <a:pPr>
        <a:defRPr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fr-FR"/>
    </a:p>
  </c:txPr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4"/>
  <c:chart>
    <c:plotArea>
      <c:layout/>
      <c:scatterChart>
        <c:scatterStyle val="smoothMarker"/>
        <c:ser>
          <c:idx val="0"/>
          <c:order val="0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'SPECTRE V'!$M$9:$M$409</c:f>
              <c:numCache>
                <c:formatCode>0.00</c:formatCode>
                <c:ptCount val="4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</c:numCache>
            </c:numRef>
          </c:xVal>
          <c:yVal>
            <c:numRef>
              <c:f>'SPECTRE V'!$N$9:$N$409</c:f>
              <c:numCache>
                <c:formatCode>0.0000</c:formatCode>
                <c:ptCount val="401"/>
                <c:pt idx="0">
                  <c:v>2.5669999999999998E-2</c:v>
                </c:pt>
                <c:pt idx="1">
                  <c:v>2.4809999999999999E-2</c:v>
                </c:pt>
                <c:pt idx="2">
                  <c:v>2.3959999999999999E-2</c:v>
                </c:pt>
                <c:pt idx="3">
                  <c:v>2.3099999999999999E-2</c:v>
                </c:pt>
                <c:pt idx="4">
                  <c:v>2.2239999999999999E-2</c:v>
                </c:pt>
                <c:pt idx="5">
                  <c:v>2.1389999999999999E-2</c:v>
                </c:pt>
                <c:pt idx="6">
                  <c:v>2.1389999999999999E-2</c:v>
                </c:pt>
                <c:pt idx="7">
                  <c:v>2.1389999999999999E-2</c:v>
                </c:pt>
                <c:pt idx="8">
                  <c:v>2.1389999999999999E-2</c:v>
                </c:pt>
                <c:pt idx="9">
                  <c:v>2.1389999999999999E-2</c:v>
                </c:pt>
                <c:pt idx="10">
                  <c:v>2.1389999999999999E-2</c:v>
                </c:pt>
                <c:pt idx="11">
                  <c:v>2.1389999999999999E-2</c:v>
                </c:pt>
                <c:pt idx="12">
                  <c:v>2.1389999999999999E-2</c:v>
                </c:pt>
                <c:pt idx="13">
                  <c:v>2.1389999999999999E-2</c:v>
                </c:pt>
                <c:pt idx="14">
                  <c:v>2.1389999999999999E-2</c:v>
                </c:pt>
                <c:pt idx="15">
                  <c:v>2.1389999999999999E-2</c:v>
                </c:pt>
                <c:pt idx="16">
                  <c:v>2.0310000000000002E-2</c:v>
                </c:pt>
                <c:pt idx="17">
                  <c:v>1.9349999999999999E-2</c:v>
                </c:pt>
                <c:pt idx="18">
                  <c:v>1.8489999999999999E-2</c:v>
                </c:pt>
                <c:pt idx="19">
                  <c:v>1.77E-2</c:v>
                </c:pt>
                <c:pt idx="20">
                  <c:v>1.6990000000000002E-2</c:v>
                </c:pt>
                <c:pt idx="21">
                  <c:v>1.634E-2</c:v>
                </c:pt>
                <c:pt idx="22">
                  <c:v>1.5740000000000001E-2</c:v>
                </c:pt>
                <c:pt idx="23">
                  <c:v>1.519E-2</c:v>
                </c:pt>
                <c:pt idx="24">
                  <c:v>1.469E-2</c:v>
                </c:pt>
                <c:pt idx="25">
                  <c:v>1.421E-2</c:v>
                </c:pt>
                <c:pt idx="26">
                  <c:v>1.3769999999999999E-2</c:v>
                </c:pt>
                <c:pt idx="27">
                  <c:v>1.337E-2</c:v>
                </c:pt>
                <c:pt idx="28">
                  <c:v>1.298E-2</c:v>
                </c:pt>
                <c:pt idx="29">
                  <c:v>1.2619999999999999E-2</c:v>
                </c:pt>
                <c:pt idx="30">
                  <c:v>1.2279999999999999E-2</c:v>
                </c:pt>
                <c:pt idx="31">
                  <c:v>1.197E-2</c:v>
                </c:pt>
                <c:pt idx="32">
                  <c:v>1.167E-2</c:v>
                </c:pt>
                <c:pt idx="33">
                  <c:v>1.1379999999999999E-2</c:v>
                </c:pt>
                <c:pt idx="34">
                  <c:v>1.111E-2</c:v>
                </c:pt>
                <c:pt idx="35">
                  <c:v>1.086E-2</c:v>
                </c:pt>
                <c:pt idx="36">
                  <c:v>1.0619999999999999E-2</c:v>
                </c:pt>
                <c:pt idx="37">
                  <c:v>1.039E-2</c:v>
                </c:pt>
                <c:pt idx="38">
                  <c:v>1.017E-2</c:v>
                </c:pt>
                <c:pt idx="39">
                  <c:v>9.9600000000000001E-3</c:v>
                </c:pt>
                <c:pt idx="40">
                  <c:v>9.7599999999999996E-3</c:v>
                </c:pt>
                <c:pt idx="41">
                  <c:v>9.5700000000000004E-3</c:v>
                </c:pt>
                <c:pt idx="42">
                  <c:v>9.3900000000000008E-3</c:v>
                </c:pt>
                <c:pt idx="43">
                  <c:v>9.2099999999999994E-3</c:v>
                </c:pt>
                <c:pt idx="44">
                  <c:v>9.0399999999999994E-3</c:v>
                </c:pt>
                <c:pt idx="45">
                  <c:v>8.8800000000000007E-3</c:v>
                </c:pt>
                <c:pt idx="46">
                  <c:v>8.7299999999999999E-3</c:v>
                </c:pt>
                <c:pt idx="47">
                  <c:v>8.5800000000000008E-3</c:v>
                </c:pt>
                <c:pt idx="48">
                  <c:v>8.43E-3</c:v>
                </c:pt>
                <c:pt idx="49">
                  <c:v>8.3000000000000001E-3</c:v>
                </c:pt>
                <c:pt idx="50">
                  <c:v>8.1600000000000006E-3</c:v>
                </c:pt>
                <c:pt idx="51">
                  <c:v>8.0400000000000003E-3</c:v>
                </c:pt>
                <c:pt idx="52">
                  <c:v>7.9100000000000004E-3</c:v>
                </c:pt>
                <c:pt idx="53">
                  <c:v>7.79E-3</c:v>
                </c:pt>
                <c:pt idx="54">
                  <c:v>7.7000000000000002E-3</c:v>
                </c:pt>
                <c:pt idx="55">
                  <c:v>7.7000000000000002E-3</c:v>
                </c:pt>
                <c:pt idx="56">
                  <c:v>7.7000000000000002E-3</c:v>
                </c:pt>
                <c:pt idx="57">
                  <c:v>7.7000000000000002E-3</c:v>
                </c:pt>
                <c:pt idx="58">
                  <c:v>7.7000000000000002E-3</c:v>
                </c:pt>
                <c:pt idx="59">
                  <c:v>7.7000000000000002E-3</c:v>
                </c:pt>
                <c:pt idx="60">
                  <c:v>7.7000000000000002E-3</c:v>
                </c:pt>
                <c:pt idx="61">
                  <c:v>7.7000000000000002E-3</c:v>
                </c:pt>
                <c:pt idx="62">
                  <c:v>7.7000000000000002E-3</c:v>
                </c:pt>
                <c:pt idx="63">
                  <c:v>7.7000000000000002E-3</c:v>
                </c:pt>
                <c:pt idx="64">
                  <c:v>7.7000000000000002E-3</c:v>
                </c:pt>
                <c:pt idx="65">
                  <c:v>7.7000000000000002E-3</c:v>
                </c:pt>
                <c:pt idx="66">
                  <c:v>7.7000000000000002E-3</c:v>
                </c:pt>
                <c:pt idx="67">
                  <c:v>7.7000000000000002E-3</c:v>
                </c:pt>
                <c:pt idx="68">
                  <c:v>7.7000000000000002E-3</c:v>
                </c:pt>
                <c:pt idx="69">
                  <c:v>7.7000000000000002E-3</c:v>
                </c:pt>
                <c:pt idx="70">
                  <c:v>7.7000000000000002E-3</c:v>
                </c:pt>
                <c:pt idx="71">
                  <c:v>7.7000000000000002E-3</c:v>
                </c:pt>
                <c:pt idx="72">
                  <c:v>7.7000000000000002E-3</c:v>
                </c:pt>
                <c:pt idx="73">
                  <c:v>7.7000000000000002E-3</c:v>
                </c:pt>
                <c:pt idx="74">
                  <c:v>7.7000000000000002E-3</c:v>
                </c:pt>
                <c:pt idx="75">
                  <c:v>7.7000000000000002E-3</c:v>
                </c:pt>
                <c:pt idx="76">
                  <c:v>7.7000000000000002E-3</c:v>
                </c:pt>
                <c:pt idx="77">
                  <c:v>7.7000000000000002E-3</c:v>
                </c:pt>
                <c:pt idx="78">
                  <c:v>7.7000000000000002E-3</c:v>
                </c:pt>
                <c:pt idx="79">
                  <c:v>7.7000000000000002E-3</c:v>
                </c:pt>
                <c:pt idx="80">
                  <c:v>7.7000000000000002E-3</c:v>
                </c:pt>
                <c:pt idx="81">
                  <c:v>7.7000000000000002E-3</c:v>
                </c:pt>
                <c:pt idx="82">
                  <c:v>7.7000000000000002E-3</c:v>
                </c:pt>
                <c:pt idx="83">
                  <c:v>7.7000000000000002E-3</c:v>
                </c:pt>
                <c:pt idx="84">
                  <c:v>7.7000000000000002E-3</c:v>
                </c:pt>
                <c:pt idx="85">
                  <c:v>7.7000000000000002E-3</c:v>
                </c:pt>
                <c:pt idx="86">
                  <c:v>7.7000000000000002E-3</c:v>
                </c:pt>
                <c:pt idx="87">
                  <c:v>7.7000000000000002E-3</c:v>
                </c:pt>
                <c:pt idx="88">
                  <c:v>7.7000000000000002E-3</c:v>
                </c:pt>
                <c:pt idx="89">
                  <c:v>7.7000000000000002E-3</c:v>
                </c:pt>
                <c:pt idx="90">
                  <c:v>7.7000000000000002E-3</c:v>
                </c:pt>
                <c:pt idx="91">
                  <c:v>7.7000000000000002E-3</c:v>
                </c:pt>
                <c:pt idx="92">
                  <c:v>7.7000000000000002E-3</c:v>
                </c:pt>
                <c:pt idx="93">
                  <c:v>7.7000000000000002E-3</c:v>
                </c:pt>
                <c:pt idx="94">
                  <c:v>7.7000000000000002E-3</c:v>
                </c:pt>
                <c:pt idx="95">
                  <c:v>7.7000000000000002E-3</c:v>
                </c:pt>
                <c:pt idx="96">
                  <c:v>7.7000000000000002E-3</c:v>
                </c:pt>
                <c:pt idx="97">
                  <c:v>7.7000000000000002E-3</c:v>
                </c:pt>
                <c:pt idx="98">
                  <c:v>7.7000000000000002E-3</c:v>
                </c:pt>
                <c:pt idx="99">
                  <c:v>7.7000000000000002E-3</c:v>
                </c:pt>
                <c:pt idx="100">
                  <c:v>7.7000000000000002E-3</c:v>
                </c:pt>
                <c:pt idx="101">
                  <c:v>7.7000000000000002E-3</c:v>
                </c:pt>
                <c:pt idx="102">
                  <c:v>7.7000000000000002E-3</c:v>
                </c:pt>
                <c:pt idx="103">
                  <c:v>7.7000000000000002E-3</c:v>
                </c:pt>
                <c:pt idx="104">
                  <c:v>7.7000000000000002E-3</c:v>
                </c:pt>
                <c:pt idx="105">
                  <c:v>7.7000000000000002E-3</c:v>
                </c:pt>
                <c:pt idx="106">
                  <c:v>7.7000000000000002E-3</c:v>
                </c:pt>
                <c:pt idx="107">
                  <c:v>7.7000000000000002E-3</c:v>
                </c:pt>
                <c:pt idx="108">
                  <c:v>7.7000000000000002E-3</c:v>
                </c:pt>
                <c:pt idx="109">
                  <c:v>7.7000000000000002E-3</c:v>
                </c:pt>
                <c:pt idx="110">
                  <c:v>7.7000000000000002E-3</c:v>
                </c:pt>
                <c:pt idx="111">
                  <c:v>7.7000000000000002E-3</c:v>
                </c:pt>
                <c:pt idx="112">
                  <c:v>7.7000000000000002E-3</c:v>
                </c:pt>
                <c:pt idx="113">
                  <c:v>7.7000000000000002E-3</c:v>
                </c:pt>
                <c:pt idx="114">
                  <c:v>7.7000000000000002E-3</c:v>
                </c:pt>
                <c:pt idx="115">
                  <c:v>7.7000000000000002E-3</c:v>
                </c:pt>
                <c:pt idx="116">
                  <c:v>7.7000000000000002E-3</c:v>
                </c:pt>
                <c:pt idx="117">
                  <c:v>7.7000000000000002E-3</c:v>
                </c:pt>
                <c:pt idx="118">
                  <c:v>7.7000000000000002E-3</c:v>
                </c:pt>
                <c:pt idx="119">
                  <c:v>7.7000000000000002E-3</c:v>
                </c:pt>
                <c:pt idx="120">
                  <c:v>7.7000000000000002E-3</c:v>
                </c:pt>
                <c:pt idx="121">
                  <c:v>7.7000000000000002E-3</c:v>
                </c:pt>
                <c:pt idx="122">
                  <c:v>7.7000000000000002E-3</c:v>
                </c:pt>
                <c:pt idx="123">
                  <c:v>7.7000000000000002E-3</c:v>
                </c:pt>
                <c:pt idx="124">
                  <c:v>7.7000000000000002E-3</c:v>
                </c:pt>
                <c:pt idx="125">
                  <c:v>7.7000000000000002E-3</c:v>
                </c:pt>
                <c:pt idx="126">
                  <c:v>7.7000000000000002E-3</c:v>
                </c:pt>
                <c:pt idx="127">
                  <c:v>7.7000000000000002E-3</c:v>
                </c:pt>
                <c:pt idx="128">
                  <c:v>7.7000000000000002E-3</c:v>
                </c:pt>
                <c:pt idx="129">
                  <c:v>7.7000000000000002E-3</c:v>
                </c:pt>
                <c:pt idx="130">
                  <c:v>7.7000000000000002E-3</c:v>
                </c:pt>
                <c:pt idx="131">
                  <c:v>7.7000000000000002E-3</c:v>
                </c:pt>
                <c:pt idx="132">
                  <c:v>7.7000000000000002E-3</c:v>
                </c:pt>
                <c:pt idx="133">
                  <c:v>7.7000000000000002E-3</c:v>
                </c:pt>
                <c:pt idx="134">
                  <c:v>7.7000000000000002E-3</c:v>
                </c:pt>
                <c:pt idx="135">
                  <c:v>7.7000000000000002E-3</c:v>
                </c:pt>
                <c:pt idx="136">
                  <c:v>7.7000000000000002E-3</c:v>
                </c:pt>
                <c:pt idx="137">
                  <c:v>7.7000000000000002E-3</c:v>
                </c:pt>
                <c:pt idx="138">
                  <c:v>7.7000000000000002E-3</c:v>
                </c:pt>
                <c:pt idx="139">
                  <c:v>7.7000000000000002E-3</c:v>
                </c:pt>
                <c:pt idx="140">
                  <c:v>7.7000000000000002E-3</c:v>
                </c:pt>
                <c:pt idx="141">
                  <c:v>7.7000000000000002E-3</c:v>
                </c:pt>
                <c:pt idx="142">
                  <c:v>7.7000000000000002E-3</c:v>
                </c:pt>
                <c:pt idx="143">
                  <c:v>7.7000000000000002E-3</c:v>
                </c:pt>
                <c:pt idx="144">
                  <c:v>7.7000000000000002E-3</c:v>
                </c:pt>
                <c:pt idx="145">
                  <c:v>7.7000000000000002E-3</c:v>
                </c:pt>
                <c:pt idx="146">
                  <c:v>7.7000000000000002E-3</c:v>
                </c:pt>
                <c:pt idx="147">
                  <c:v>7.7000000000000002E-3</c:v>
                </c:pt>
                <c:pt idx="148">
                  <c:v>7.7000000000000002E-3</c:v>
                </c:pt>
                <c:pt idx="149">
                  <c:v>7.7000000000000002E-3</c:v>
                </c:pt>
                <c:pt idx="150">
                  <c:v>7.7000000000000002E-3</c:v>
                </c:pt>
                <c:pt idx="151">
                  <c:v>7.7000000000000002E-3</c:v>
                </c:pt>
                <c:pt idx="152">
                  <c:v>7.7000000000000002E-3</c:v>
                </c:pt>
                <c:pt idx="153">
                  <c:v>7.7000000000000002E-3</c:v>
                </c:pt>
                <c:pt idx="154">
                  <c:v>7.7000000000000002E-3</c:v>
                </c:pt>
                <c:pt idx="155">
                  <c:v>7.7000000000000002E-3</c:v>
                </c:pt>
                <c:pt idx="156">
                  <c:v>7.7000000000000002E-3</c:v>
                </c:pt>
                <c:pt idx="157">
                  <c:v>7.7000000000000002E-3</c:v>
                </c:pt>
                <c:pt idx="158">
                  <c:v>7.7000000000000002E-3</c:v>
                </c:pt>
                <c:pt idx="159">
                  <c:v>7.7000000000000002E-3</c:v>
                </c:pt>
                <c:pt idx="160">
                  <c:v>7.7000000000000002E-3</c:v>
                </c:pt>
                <c:pt idx="161">
                  <c:v>7.7000000000000002E-3</c:v>
                </c:pt>
                <c:pt idx="162">
                  <c:v>7.7000000000000002E-3</c:v>
                </c:pt>
                <c:pt idx="163">
                  <c:v>7.7000000000000002E-3</c:v>
                </c:pt>
                <c:pt idx="164">
                  <c:v>7.7000000000000002E-3</c:v>
                </c:pt>
                <c:pt idx="165">
                  <c:v>7.7000000000000002E-3</c:v>
                </c:pt>
                <c:pt idx="166">
                  <c:v>7.7000000000000002E-3</c:v>
                </c:pt>
                <c:pt idx="167">
                  <c:v>7.7000000000000002E-3</c:v>
                </c:pt>
                <c:pt idx="168">
                  <c:v>7.7000000000000002E-3</c:v>
                </c:pt>
                <c:pt idx="169">
                  <c:v>7.7000000000000002E-3</c:v>
                </c:pt>
                <c:pt idx="170">
                  <c:v>7.7000000000000002E-3</c:v>
                </c:pt>
                <c:pt idx="171">
                  <c:v>7.7000000000000002E-3</c:v>
                </c:pt>
                <c:pt idx="172">
                  <c:v>7.7000000000000002E-3</c:v>
                </c:pt>
                <c:pt idx="173">
                  <c:v>7.7000000000000002E-3</c:v>
                </c:pt>
                <c:pt idx="174">
                  <c:v>7.7000000000000002E-3</c:v>
                </c:pt>
                <c:pt idx="175">
                  <c:v>7.7000000000000002E-3</c:v>
                </c:pt>
                <c:pt idx="176">
                  <c:v>7.7000000000000002E-3</c:v>
                </c:pt>
                <c:pt idx="177">
                  <c:v>7.7000000000000002E-3</c:v>
                </c:pt>
                <c:pt idx="178">
                  <c:v>7.7000000000000002E-3</c:v>
                </c:pt>
                <c:pt idx="179">
                  <c:v>7.7000000000000002E-3</c:v>
                </c:pt>
                <c:pt idx="180">
                  <c:v>7.7000000000000002E-3</c:v>
                </c:pt>
                <c:pt idx="181">
                  <c:v>7.7000000000000002E-3</c:v>
                </c:pt>
                <c:pt idx="182">
                  <c:v>7.7000000000000002E-3</c:v>
                </c:pt>
                <c:pt idx="183">
                  <c:v>7.7000000000000002E-3</c:v>
                </c:pt>
                <c:pt idx="184">
                  <c:v>7.7000000000000002E-3</c:v>
                </c:pt>
                <c:pt idx="185">
                  <c:v>7.7000000000000002E-3</c:v>
                </c:pt>
                <c:pt idx="186">
                  <c:v>7.7000000000000002E-3</c:v>
                </c:pt>
                <c:pt idx="187">
                  <c:v>7.7000000000000002E-3</c:v>
                </c:pt>
                <c:pt idx="188">
                  <c:v>7.7000000000000002E-3</c:v>
                </c:pt>
                <c:pt idx="189">
                  <c:v>7.7000000000000002E-3</c:v>
                </c:pt>
                <c:pt idx="190">
                  <c:v>7.7000000000000002E-3</c:v>
                </c:pt>
                <c:pt idx="191">
                  <c:v>7.7000000000000002E-3</c:v>
                </c:pt>
                <c:pt idx="192">
                  <c:v>7.7000000000000002E-3</c:v>
                </c:pt>
                <c:pt idx="193">
                  <c:v>7.7000000000000002E-3</c:v>
                </c:pt>
                <c:pt idx="194">
                  <c:v>7.7000000000000002E-3</c:v>
                </c:pt>
                <c:pt idx="195">
                  <c:v>7.7000000000000002E-3</c:v>
                </c:pt>
                <c:pt idx="196">
                  <c:v>7.7000000000000002E-3</c:v>
                </c:pt>
                <c:pt idx="197">
                  <c:v>7.7000000000000002E-3</c:v>
                </c:pt>
                <c:pt idx="198">
                  <c:v>7.7000000000000002E-3</c:v>
                </c:pt>
                <c:pt idx="199">
                  <c:v>7.7000000000000002E-3</c:v>
                </c:pt>
                <c:pt idx="200">
                  <c:v>7.7000000000000002E-3</c:v>
                </c:pt>
                <c:pt idx="201">
                  <c:v>7.7000000000000002E-3</c:v>
                </c:pt>
                <c:pt idx="202">
                  <c:v>7.7000000000000002E-3</c:v>
                </c:pt>
                <c:pt idx="203">
                  <c:v>7.7000000000000002E-3</c:v>
                </c:pt>
                <c:pt idx="204">
                  <c:v>7.7000000000000002E-3</c:v>
                </c:pt>
                <c:pt idx="205">
                  <c:v>7.7000000000000002E-3</c:v>
                </c:pt>
                <c:pt idx="206">
                  <c:v>7.7000000000000002E-3</c:v>
                </c:pt>
                <c:pt idx="207">
                  <c:v>7.7000000000000002E-3</c:v>
                </c:pt>
                <c:pt idx="208">
                  <c:v>7.7000000000000002E-3</c:v>
                </c:pt>
                <c:pt idx="209">
                  <c:v>7.7000000000000002E-3</c:v>
                </c:pt>
                <c:pt idx="210">
                  <c:v>7.7000000000000002E-3</c:v>
                </c:pt>
                <c:pt idx="211">
                  <c:v>7.7000000000000002E-3</c:v>
                </c:pt>
                <c:pt idx="212">
                  <c:v>7.7000000000000002E-3</c:v>
                </c:pt>
                <c:pt idx="213">
                  <c:v>7.7000000000000002E-3</c:v>
                </c:pt>
                <c:pt idx="214">
                  <c:v>7.7000000000000002E-3</c:v>
                </c:pt>
                <c:pt idx="215">
                  <c:v>7.7000000000000002E-3</c:v>
                </c:pt>
                <c:pt idx="216">
                  <c:v>7.7000000000000002E-3</c:v>
                </c:pt>
                <c:pt idx="217">
                  <c:v>7.7000000000000002E-3</c:v>
                </c:pt>
                <c:pt idx="218">
                  <c:v>7.7000000000000002E-3</c:v>
                </c:pt>
                <c:pt idx="219">
                  <c:v>7.7000000000000002E-3</c:v>
                </c:pt>
                <c:pt idx="220">
                  <c:v>7.7000000000000002E-3</c:v>
                </c:pt>
                <c:pt idx="221">
                  <c:v>7.7000000000000002E-3</c:v>
                </c:pt>
                <c:pt idx="222">
                  <c:v>7.7000000000000002E-3</c:v>
                </c:pt>
                <c:pt idx="223">
                  <c:v>7.7000000000000002E-3</c:v>
                </c:pt>
                <c:pt idx="224">
                  <c:v>7.7000000000000002E-3</c:v>
                </c:pt>
                <c:pt idx="225">
                  <c:v>7.7000000000000002E-3</c:v>
                </c:pt>
                <c:pt idx="226">
                  <c:v>7.7000000000000002E-3</c:v>
                </c:pt>
                <c:pt idx="227">
                  <c:v>7.7000000000000002E-3</c:v>
                </c:pt>
                <c:pt idx="228">
                  <c:v>7.7000000000000002E-3</c:v>
                </c:pt>
                <c:pt idx="229">
                  <c:v>7.7000000000000002E-3</c:v>
                </c:pt>
                <c:pt idx="230">
                  <c:v>7.7000000000000002E-3</c:v>
                </c:pt>
                <c:pt idx="231">
                  <c:v>7.7000000000000002E-3</c:v>
                </c:pt>
                <c:pt idx="232">
                  <c:v>7.7000000000000002E-3</c:v>
                </c:pt>
                <c:pt idx="233">
                  <c:v>7.7000000000000002E-3</c:v>
                </c:pt>
                <c:pt idx="234">
                  <c:v>7.7000000000000002E-3</c:v>
                </c:pt>
                <c:pt idx="235">
                  <c:v>7.7000000000000002E-3</c:v>
                </c:pt>
                <c:pt idx="236">
                  <c:v>7.7000000000000002E-3</c:v>
                </c:pt>
                <c:pt idx="237">
                  <c:v>7.7000000000000002E-3</c:v>
                </c:pt>
                <c:pt idx="238">
                  <c:v>7.7000000000000002E-3</c:v>
                </c:pt>
                <c:pt idx="239">
                  <c:v>7.7000000000000002E-3</c:v>
                </c:pt>
                <c:pt idx="240">
                  <c:v>7.7000000000000002E-3</c:v>
                </c:pt>
                <c:pt idx="241">
                  <c:v>7.7000000000000002E-3</c:v>
                </c:pt>
                <c:pt idx="242">
                  <c:v>7.7000000000000002E-3</c:v>
                </c:pt>
                <c:pt idx="243">
                  <c:v>7.7000000000000002E-3</c:v>
                </c:pt>
                <c:pt idx="244">
                  <c:v>7.7000000000000002E-3</c:v>
                </c:pt>
                <c:pt idx="245">
                  <c:v>7.7000000000000002E-3</c:v>
                </c:pt>
                <c:pt idx="246">
                  <c:v>7.7000000000000002E-3</c:v>
                </c:pt>
                <c:pt idx="247">
                  <c:v>7.7000000000000002E-3</c:v>
                </c:pt>
                <c:pt idx="248">
                  <c:v>7.7000000000000002E-3</c:v>
                </c:pt>
                <c:pt idx="249">
                  <c:v>7.7000000000000002E-3</c:v>
                </c:pt>
                <c:pt idx="250">
                  <c:v>7.7000000000000002E-3</c:v>
                </c:pt>
                <c:pt idx="251">
                  <c:v>7.7000000000000002E-3</c:v>
                </c:pt>
                <c:pt idx="252">
                  <c:v>7.7000000000000002E-3</c:v>
                </c:pt>
                <c:pt idx="253">
                  <c:v>7.7000000000000002E-3</c:v>
                </c:pt>
                <c:pt idx="254">
                  <c:v>7.7000000000000002E-3</c:v>
                </c:pt>
                <c:pt idx="255">
                  <c:v>7.7000000000000002E-3</c:v>
                </c:pt>
                <c:pt idx="256">
                  <c:v>7.7000000000000002E-3</c:v>
                </c:pt>
                <c:pt idx="257">
                  <c:v>7.7000000000000002E-3</c:v>
                </c:pt>
                <c:pt idx="258">
                  <c:v>7.7000000000000002E-3</c:v>
                </c:pt>
                <c:pt idx="259">
                  <c:v>7.7000000000000002E-3</c:v>
                </c:pt>
                <c:pt idx="260">
                  <c:v>7.7000000000000002E-3</c:v>
                </c:pt>
                <c:pt idx="261">
                  <c:v>7.7000000000000002E-3</c:v>
                </c:pt>
                <c:pt idx="262">
                  <c:v>7.7000000000000002E-3</c:v>
                </c:pt>
                <c:pt idx="263">
                  <c:v>7.7000000000000002E-3</c:v>
                </c:pt>
                <c:pt idx="264">
                  <c:v>7.7000000000000002E-3</c:v>
                </c:pt>
                <c:pt idx="265">
                  <c:v>7.7000000000000002E-3</c:v>
                </c:pt>
                <c:pt idx="266">
                  <c:v>7.7000000000000002E-3</c:v>
                </c:pt>
                <c:pt idx="267">
                  <c:v>7.7000000000000002E-3</c:v>
                </c:pt>
                <c:pt idx="268">
                  <c:v>7.7000000000000002E-3</c:v>
                </c:pt>
                <c:pt idx="269">
                  <c:v>7.7000000000000002E-3</c:v>
                </c:pt>
                <c:pt idx="270">
                  <c:v>7.7000000000000002E-3</c:v>
                </c:pt>
                <c:pt idx="271">
                  <c:v>7.7000000000000002E-3</c:v>
                </c:pt>
                <c:pt idx="272">
                  <c:v>7.7000000000000002E-3</c:v>
                </c:pt>
                <c:pt idx="273">
                  <c:v>7.7000000000000002E-3</c:v>
                </c:pt>
                <c:pt idx="274">
                  <c:v>7.7000000000000002E-3</c:v>
                </c:pt>
                <c:pt idx="275">
                  <c:v>7.7000000000000002E-3</c:v>
                </c:pt>
                <c:pt idx="276">
                  <c:v>7.7000000000000002E-3</c:v>
                </c:pt>
                <c:pt idx="277">
                  <c:v>7.7000000000000002E-3</c:v>
                </c:pt>
                <c:pt idx="278">
                  <c:v>7.7000000000000002E-3</c:v>
                </c:pt>
                <c:pt idx="279">
                  <c:v>7.7000000000000002E-3</c:v>
                </c:pt>
                <c:pt idx="280">
                  <c:v>7.7000000000000002E-3</c:v>
                </c:pt>
                <c:pt idx="281">
                  <c:v>7.7000000000000002E-3</c:v>
                </c:pt>
                <c:pt idx="282">
                  <c:v>7.7000000000000002E-3</c:v>
                </c:pt>
                <c:pt idx="283">
                  <c:v>7.7000000000000002E-3</c:v>
                </c:pt>
                <c:pt idx="284">
                  <c:v>7.7000000000000002E-3</c:v>
                </c:pt>
                <c:pt idx="285">
                  <c:v>7.7000000000000002E-3</c:v>
                </c:pt>
                <c:pt idx="286">
                  <c:v>7.7000000000000002E-3</c:v>
                </c:pt>
                <c:pt idx="287">
                  <c:v>7.7000000000000002E-3</c:v>
                </c:pt>
                <c:pt idx="288">
                  <c:v>7.7000000000000002E-3</c:v>
                </c:pt>
                <c:pt idx="289">
                  <c:v>7.7000000000000002E-3</c:v>
                </c:pt>
                <c:pt idx="290">
                  <c:v>7.7000000000000002E-3</c:v>
                </c:pt>
                <c:pt idx="291">
                  <c:v>7.7000000000000002E-3</c:v>
                </c:pt>
                <c:pt idx="292">
                  <c:v>7.7000000000000002E-3</c:v>
                </c:pt>
                <c:pt idx="293">
                  <c:v>7.7000000000000002E-3</c:v>
                </c:pt>
                <c:pt idx="294">
                  <c:v>7.7000000000000002E-3</c:v>
                </c:pt>
                <c:pt idx="295">
                  <c:v>7.7000000000000002E-3</c:v>
                </c:pt>
                <c:pt idx="296">
                  <c:v>7.7000000000000002E-3</c:v>
                </c:pt>
                <c:pt idx="297">
                  <c:v>7.7000000000000002E-3</c:v>
                </c:pt>
                <c:pt idx="298">
                  <c:v>7.7000000000000002E-3</c:v>
                </c:pt>
                <c:pt idx="299">
                  <c:v>7.7000000000000002E-3</c:v>
                </c:pt>
                <c:pt idx="300">
                  <c:v>7.7000000000000002E-3</c:v>
                </c:pt>
                <c:pt idx="301">
                  <c:v>7.7000000000000002E-3</c:v>
                </c:pt>
                <c:pt idx="302">
                  <c:v>7.7000000000000002E-3</c:v>
                </c:pt>
                <c:pt idx="303">
                  <c:v>7.7000000000000002E-3</c:v>
                </c:pt>
                <c:pt idx="304">
                  <c:v>7.7000000000000002E-3</c:v>
                </c:pt>
                <c:pt idx="305">
                  <c:v>7.7000000000000002E-3</c:v>
                </c:pt>
                <c:pt idx="306">
                  <c:v>7.7000000000000002E-3</c:v>
                </c:pt>
                <c:pt idx="307">
                  <c:v>7.7000000000000002E-3</c:v>
                </c:pt>
                <c:pt idx="308">
                  <c:v>7.7000000000000002E-3</c:v>
                </c:pt>
                <c:pt idx="309">
                  <c:v>7.7000000000000002E-3</c:v>
                </c:pt>
                <c:pt idx="310">
                  <c:v>7.7000000000000002E-3</c:v>
                </c:pt>
                <c:pt idx="311">
                  <c:v>7.7000000000000002E-3</c:v>
                </c:pt>
                <c:pt idx="312">
                  <c:v>7.7000000000000002E-3</c:v>
                </c:pt>
                <c:pt idx="313">
                  <c:v>7.7000000000000002E-3</c:v>
                </c:pt>
                <c:pt idx="314">
                  <c:v>7.7000000000000002E-3</c:v>
                </c:pt>
                <c:pt idx="315">
                  <c:v>7.7000000000000002E-3</c:v>
                </c:pt>
                <c:pt idx="316">
                  <c:v>7.7000000000000002E-3</c:v>
                </c:pt>
                <c:pt idx="317">
                  <c:v>7.7000000000000002E-3</c:v>
                </c:pt>
                <c:pt idx="318">
                  <c:v>7.7000000000000002E-3</c:v>
                </c:pt>
                <c:pt idx="319">
                  <c:v>7.7000000000000002E-3</c:v>
                </c:pt>
                <c:pt idx="320">
                  <c:v>7.7000000000000002E-3</c:v>
                </c:pt>
                <c:pt idx="321">
                  <c:v>7.7000000000000002E-3</c:v>
                </c:pt>
                <c:pt idx="322">
                  <c:v>7.7000000000000002E-3</c:v>
                </c:pt>
                <c:pt idx="323">
                  <c:v>7.7000000000000002E-3</c:v>
                </c:pt>
                <c:pt idx="324">
                  <c:v>7.7000000000000002E-3</c:v>
                </c:pt>
                <c:pt idx="325">
                  <c:v>7.7000000000000002E-3</c:v>
                </c:pt>
                <c:pt idx="326">
                  <c:v>7.7000000000000002E-3</c:v>
                </c:pt>
                <c:pt idx="327">
                  <c:v>7.7000000000000002E-3</c:v>
                </c:pt>
                <c:pt idx="328">
                  <c:v>7.7000000000000002E-3</c:v>
                </c:pt>
                <c:pt idx="329">
                  <c:v>7.7000000000000002E-3</c:v>
                </c:pt>
                <c:pt idx="330">
                  <c:v>7.7000000000000002E-3</c:v>
                </c:pt>
                <c:pt idx="331">
                  <c:v>7.7000000000000002E-3</c:v>
                </c:pt>
                <c:pt idx="332">
                  <c:v>7.7000000000000002E-3</c:v>
                </c:pt>
                <c:pt idx="333">
                  <c:v>7.7000000000000002E-3</c:v>
                </c:pt>
                <c:pt idx="334">
                  <c:v>7.7000000000000002E-3</c:v>
                </c:pt>
                <c:pt idx="335">
                  <c:v>7.7000000000000002E-3</c:v>
                </c:pt>
                <c:pt idx="336">
                  <c:v>7.7000000000000002E-3</c:v>
                </c:pt>
                <c:pt idx="337">
                  <c:v>7.7000000000000002E-3</c:v>
                </c:pt>
                <c:pt idx="338">
                  <c:v>7.7000000000000002E-3</c:v>
                </c:pt>
                <c:pt idx="339">
                  <c:v>7.7000000000000002E-3</c:v>
                </c:pt>
                <c:pt idx="340">
                  <c:v>7.7000000000000002E-3</c:v>
                </c:pt>
                <c:pt idx="341">
                  <c:v>7.7000000000000002E-3</c:v>
                </c:pt>
                <c:pt idx="342">
                  <c:v>7.7000000000000002E-3</c:v>
                </c:pt>
                <c:pt idx="343">
                  <c:v>7.7000000000000002E-3</c:v>
                </c:pt>
                <c:pt idx="344">
                  <c:v>7.7000000000000002E-3</c:v>
                </c:pt>
                <c:pt idx="345">
                  <c:v>7.7000000000000002E-3</c:v>
                </c:pt>
                <c:pt idx="346">
                  <c:v>7.7000000000000002E-3</c:v>
                </c:pt>
                <c:pt idx="347">
                  <c:v>7.7000000000000002E-3</c:v>
                </c:pt>
                <c:pt idx="348">
                  <c:v>7.7000000000000002E-3</c:v>
                </c:pt>
                <c:pt idx="349">
                  <c:v>7.7000000000000002E-3</c:v>
                </c:pt>
                <c:pt idx="350">
                  <c:v>7.7000000000000002E-3</c:v>
                </c:pt>
                <c:pt idx="351">
                  <c:v>7.7000000000000002E-3</c:v>
                </c:pt>
                <c:pt idx="352">
                  <c:v>7.7000000000000002E-3</c:v>
                </c:pt>
                <c:pt idx="353">
                  <c:v>7.7000000000000002E-3</c:v>
                </c:pt>
                <c:pt idx="354">
                  <c:v>7.7000000000000002E-3</c:v>
                </c:pt>
                <c:pt idx="355">
                  <c:v>7.7000000000000002E-3</c:v>
                </c:pt>
                <c:pt idx="356">
                  <c:v>7.7000000000000002E-3</c:v>
                </c:pt>
                <c:pt idx="357">
                  <c:v>7.7000000000000002E-3</c:v>
                </c:pt>
                <c:pt idx="358">
                  <c:v>7.7000000000000002E-3</c:v>
                </c:pt>
                <c:pt idx="359">
                  <c:v>7.7000000000000002E-3</c:v>
                </c:pt>
                <c:pt idx="360">
                  <c:v>7.7000000000000002E-3</c:v>
                </c:pt>
                <c:pt idx="361">
                  <c:v>7.7000000000000002E-3</c:v>
                </c:pt>
                <c:pt idx="362">
                  <c:v>7.7000000000000002E-3</c:v>
                </c:pt>
                <c:pt idx="363">
                  <c:v>7.7000000000000002E-3</c:v>
                </c:pt>
                <c:pt idx="364">
                  <c:v>7.7000000000000002E-3</c:v>
                </c:pt>
                <c:pt idx="365">
                  <c:v>7.7000000000000002E-3</c:v>
                </c:pt>
                <c:pt idx="366">
                  <c:v>7.7000000000000002E-3</c:v>
                </c:pt>
                <c:pt idx="367">
                  <c:v>7.7000000000000002E-3</c:v>
                </c:pt>
                <c:pt idx="368">
                  <c:v>7.7000000000000002E-3</c:v>
                </c:pt>
                <c:pt idx="369">
                  <c:v>7.7000000000000002E-3</c:v>
                </c:pt>
                <c:pt idx="370">
                  <c:v>7.7000000000000002E-3</c:v>
                </c:pt>
                <c:pt idx="371">
                  <c:v>7.7000000000000002E-3</c:v>
                </c:pt>
                <c:pt idx="372">
                  <c:v>7.7000000000000002E-3</c:v>
                </c:pt>
                <c:pt idx="373">
                  <c:v>7.7000000000000002E-3</c:v>
                </c:pt>
                <c:pt idx="374">
                  <c:v>7.7000000000000002E-3</c:v>
                </c:pt>
                <c:pt idx="375">
                  <c:v>7.7000000000000002E-3</c:v>
                </c:pt>
                <c:pt idx="376">
                  <c:v>7.7000000000000002E-3</c:v>
                </c:pt>
                <c:pt idx="377">
                  <c:v>7.7000000000000002E-3</c:v>
                </c:pt>
                <c:pt idx="378">
                  <c:v>7.7000000000000002E-3</c:v>
                </c:pt>
                <c:pt idx="379">
                  <c:v>7.7000000000000002E-3</c:v>
                </c:pt>
                <c:pt idx="380">
                  <c:v>7.7000000000000002E-3</c:v>
                </c:pt>
                <c:pt idx="381">
                  <c:v>7.7000000000000002E-3</c:v>
                </c:pt>
                <c:pt idx="382">
                  <c:v>7.7000000000000002E-3</c:v>
                </c:pt>
                <c:pt idx="383">
                  <c:v>7.7000000000000002E-3</c:v>
                </c:pt>
                <c:pt idx="384">
                  <c:v>7.7000000000000002E-3</c:v>
                </c:pt>
                <c:pt idx="385">
                  <c:v>7.7000000000000002E-3</c:v>
                </c:pt>
                <c:pt idx="386">
                  <c:v>7.7000000000000002E-3</c:v>
                </c:pt>
                <c:pt idx="387">
                  <c:v>7.7000000000000002E-3</c:v>
                </c:pt>
                <c:pt idx="388">
                  <c:v>7.7000000000000002E-3</c:v>
                </c:pt>
                <c:pt idx="389">
                  <c:v>7.7000000000000002E-3</c:v>
                </c:pt>
                <c:pt idx="390">
                  <c:v>7.7000000000000002E-3</c:v>
                </c:pt>
                <c:pt idx="391">
                  <c:v>7.7000000000000002E-3</c:v>
                </c:pt>
                <c:pt idx="392">
                  <c:v>7.7000000000000002E-3</c:v>
                </c:pt>
                <c:pt idx="393">
                  <c:v>7.7000000000000002E-3</c:v>
                </c:pt>
                <c:pt idx="394">
                  <c:v>7.7000000000000002E-3</c:v>
                </c:pt>
                <c:pt idx="395">
                  <c:v>7.7000000000000002E-3</c:v>
                </c:pt>
                <c:pt idx="396">
                  <c:v>7.7000000000000002E-3</c:v>
                </c:pt>
                <c:pt idx="397">
                  <c:v>7.7000000000000002E-3</c:v>
                </c:pt>
                <c:pt idx="398">
                  <c:v>7.7000000000000002E-3</c:v>
                </c:pt>
                <c:pt idx="399">
                  <c:v>7.7000000000000002E-3</c:v>
                </c:pt>
                <c:pt idx="400">
                  <c:v>7.7000000000000002E-3</c:v>
                </c:pt>
              </c:numCache>
            </c:numRef>
          </c:yVal>
          <c:smooth val="1"/>
        </c:ser>
        <c:axId val="102531840"/>
        <c:axId val="102533760"/>
      </c:scatterChart>
      <c:valAx>
        <c:axId val="102531840"/>
        <c:scaling>
          <c:orientation val="minMax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Période (T) (S)</a:t>
                </a:r>
              </a:p>
            </c:rich>
          </c:tx>
        </c:title>
        <c:numFmt formatCode="0.00" sourceLinked="1"/>
        <c:tickLblPos val="nextTo"/>
        <c:crossAx val="102533760"/>
        <c:crosses val="autoZero"/>
        <c:crossBetween val="midCat"/>
      </c:valAx>
      <c:valAx>
        <c:axId val="102533760"/>
        <c:scaling>
          <c:orientation val="minMax"/>
        </c:scaling>
        <c:axPos val="l"/>
        <c:majorGridlines/>
        <c:minorGridlines>
          <c:spPr>
            <a:ln>
              <a:solidFill>
                <a:schemeClr val="tx2">
                  <a:lumMod val="20000"/>
                  <a:lumOff val="80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Sad/g (T)</a:t>
                </a:r>
              </a:p>
            </c:rich>
          </c:tx>
        </c:title>
        <c:numFmt formatCode="0.0000" sourceLinked="1"/>
        <c:tickLblPos val="nextTo"/>
        <c:crossAx val="102531840"/>
        <c:crosses val="autoZero"/>
        <c:crossBetween val="midCat"/>
      </c:valAx>
    </c:plotArea>
    <c:plotVisOnly val="1"/>
  </c:chart>
  <c:spPr>
    <a:noFill/>
    <a:ln>
      <a:noFill/>
    </a:ln>
  </c:spPr>
  <c:txPr>
    <a:bodyPr/>
    <a:lstStyle/>
    <a:p>
      <a:pPr>
        <a:defRPr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fr-FR"/>
    </a:p>
  </c:txPr>
  <c:printSettings>
    <c:headerFooter/>
    <c:pageMargins b="0.75000000000001443" l="0.70000000000000062" r="0.70000000000000062" t="0.7500000000000144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39"/>
  <c:chart>
    <c:title>
      <c:tx>
        <c:rich>
          <a:bodyPr rot="0" vert="horz"/>
          <a:lstStyle/>
          <a:p>
            <a:pPr>
              <a:defRPr sz="1200"/>
            </a:pPr>
            <a:r>
              <a:rPr lang="en-US" sz="1200"/>
              <a:t>Distribution de l'éffort tranchant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dLbls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'CALCUL RPA'!$B$78:$E$79</c:f>
              <c:multiLvlStrCache>
                <c:ptCount val="4"/>
                <c:lvl>
                  <c:pt idx="0">
                    <c:v>Voiles</c:v>
                  </c:pt>
                  <c:pt idx="1">
                    <c:v>Poteaux</c:v>
                  </c:pt>
                  <c:pt idx="2">
                    <c:v>Voiles</c:v>
                  </c:pt>
                  <c:pt idx="3">
                    <c:v>Poteaux</c:v>
                  </c:pt>
                </c:lvl>
                <c:lvl>
                  <c:pt idx="0">
                    <c:v>Effort Tx</c:v>
                  </c:pt>
                  <c:pt idx="2">
                    <c:v>Effort Ty</c:v>
                  </c:pt>
                </c:lvl>
              </c:multiLvlStrCache>
            </c:multiLvlStrRef>
          </c:cat>
          <c:val>
            <c:numRef>
              <c:f>'CALCUL RPA'!$B$80:$E$80</c:f>
              <c:numCache>
                <c:formatCode>0%</c:formatCode>
                <c:ptCount val="4"/>
                <c:pt idx="0">
                  <c:v>0.58013212071851961</c:v>
                </c:pt>
                <c:pt idx="1">
                  <c:v>0.4198678792814805</c:v>
                </c:pt>
                <c:pt idx="2">
                  <c:v>0.52226931855233127</c:v>
                </c:pt>
                <c:pt idx="3">
                  <c:v>0.47773068144766873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3B9-44BC-A73E-CFC92E7DF53D}"/>
            </c:ext>
          </c:extLst>
        </c:ser>
        <c:dLbls>
          <c:showVal val="1"/>
        </c:dLbls>
        <c:gapWidth val="315"/>
        <c:overlap val="-40"/>
        <c:axId val="102578048"/>
        <c:axId val="102579584"/>
      </c:barChart>
      <c:catAx>
        <c:axId val="102578048"/>
        <c:scaling>
          <c:orientation val="minMax"/>
        </c:scaling>
        <c:axPos val="b"/>
        <c:majorGridlines/>
        <c:numFmt formatCode="General" sourceLinked="0"/>
        <c:majorTickMark val="none"/>
        <c:tickLblPos val="nextTo"/>
        <c:txPr>
          <a:bodyPr rot="-60000000" vert="horz"/>
          <a:lstStyle/>
          <a:p>
            <a:pPr>
              <a:defRPr/>
            </a:pPr>
            <a:endParaRPr lang="fr-FR"/>
          </a:p>
        </c:txPr>
        <c:crossAx val="102579584"/>
        <c:crosses val="autoZero"/>
        <c:auto val="1"/>
        <c:lblAlgn val="ctr"/>
        <c:lblOffset val="100"/>
      </c:catAx>
      <c:valAx>
        <c:axId val="102579584"/>
        <c:scaling>
          <c:orientation val="minMax"/>
        </c:scaling>
        <c:axPos val="l"/>
        <c:majorGridlines/>
        <c:numFmt formatCode="0%" sourceLinked="1"/>
        <c:majorTickMark val="none"/>
        <c:tickLblPos val="nextTo"/>
        <c:txPr>
          <a:bodyPr rot="-60000000" vert="horz"/>
          <a:lstStyle/>
          <a:p>
            <a:pPr>
              <a:defRPr/>
            </a:pPr>
            <a:endParaRPr lang="fr-FR"/>
          </a:p>
        </c:txPr>
        <c:crossAx val="102578048"/>
        <c:crosses val="autoZero"/>
        <c:crossBetween val="between"/>
      </c:valAx>
    </c:plotArea>
    <c:plotVisOnly val="1"/>
    <c:dispBlanksAs val="gap"/>
  </c:chart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2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5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1.png"/><Relationship Id="rId5" Type="http://schemas.openxmlformats.org/officeDocument/2006/relationships/image" Target="../media/image28.png"/><Relationship Id="rId4" Type="http://schemas.openxmlformats.org/officeDocument/2006/relationships/image" Target="../media/image27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4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6.png"/><Relationship Id="rId1" Type="http://schemas.openxmlformats.org/officeDocument/2006/relationships/image" Target="../media/image35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8.png"/><Relationship Id="rId1" Type="http://schemas.openxmlformats.org/officeDocument/2006/relationships/image" Target="../media/image37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0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5" Type="http://schemas.openxmlformats.org/officeDocument/2006/relationships/image" Target="../media/image12.png"/><Relationship Id="rId10" Type="http://schemas.openxmlformats.org/officeDocument/2006/relationships/image" Target="../media/image17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image" Target="../media/image2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22.png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11</xdr:row>
      <xdr:rowOff>9525</xdr:rowOff>
    </xdr:from>
    <xdr:to>
      <xdr:col>10</xdr:col>
      <xdr:colOff>609601</xdr:colOff>
      <xdr:row>28</xdr:row>
      <xdr:rowOff>123826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85725</xdr:colOff>
      <xdr:row>1</xdr:row>
      <xdr:rowOff>19050</xdr:rowOff>
    </xdr:from>
    <xdr:to>
      <xdr:col>14</xdr:col>
      <xdr:colOff>552450</xdr:colOff>
      <xdr:row>2</xdr:row>
      <xdr:rowOff>190500</xdr:rowOff>
    </xdr:to>
    <xdr:pic>
      <xdr:nvPicPr>
        <xdr:cNvPr id="4" name="Picture 3" descr="RSA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401175" y="219075"/>
          <a:ext cx="466725" cy="466725"/>
        </a:xfrm>
        <a:prstGeom prst="rect">
          <a:avLst/>
        </a:prstGeom>
      </xdr:spPr>
    </xdr:pic>
    <xdr:clientData/>
  </xdr:twoCellAnchor>
  <xdr:twoCellAnchor editAs="oneCell">
    <xdr:from>
      <xdr:col>16</xdr:col>
      <xdr:colOff>180975</xdr:colOff>
      <xdr:row>1</xdr:row>
      <xdr:rowOff>66675</xdr:rowOff>
    </xdr:from>
    <xdr:to>
      <xdr:col>26</xdr:col>
      <xdr:colOff>532594</xdr:colOff>
      <xdr:row>21</xdr:row>
      <xdr:rowOff>123307</xdr:rowOff>
    </xdr:to>
    <xdr:pic>
      <xdr:nvPicPr>
        <xdr:cNvPr id="5" name="Picture 4" descr="spectrexy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610725" y="276225"/>
          <a:ext cx="6447619" cy="4142857"/>
        </a:xfrm>
        <a:prstGeom prst="rect">
          <a:avLst/>
        </a:prstGeom>
      </xdr:spPr>
    </xdr:pic>
    <xdr:clientData/>
  </xdr:twoCellAnchor>
  <xdr:twoCellAnchor>
    <xdr:from>
      <xdr:col>12</xdr:col>
      <xdr:colOff>47625</xdr:colOff>
      <xdr:row>7</xdr:row>
      <xdr:rowOff>190500</xdr:rowOff>
    </xdr:from>
    <xdr:to>
      <xdr:col>14</xdr:col>
      <xdr:colOff>1725</xdr:colOff>
      <xdr:row>9</xdr:row>
      <xdr:rowOff>161925</xdr:rowOff>
    </xdr:to>
    <xdr:sp macro="[0]!Export_SPECTRE_H" textlink="">
      <xdr:nvSpPr>
        <xdr:cNvPr id="6" name="TextBox 5"/>
        <xdr:cNvSpPr txBox="1"/>
      </xdr:nvSpPr>
      <xdr:spPr>
        <a:xfrm>
          <a:off x="7877175" y="1771650"/>
          <a:ext cx="1440000" cy="39052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fr-FR" sz="1200" b="1">
              <a:solidFill>
                <a:srgbClr val="FF0000"/>
              </a:solidFill>
            </a:rPr>
            <a:t>Export</a:t>
          </a:r>
          <a:r>
            <a:rPr lang="fr-FR" sz="1200" b="1" baseline="0">
              <a:solidFill>
                <a:srgbClr val="FF0000"/>
              </a:solidFill>
            </a:rPr>
            <a:t> Txt</a:t>
          </a:r>
          <a:endParaRPr lang="fr-FR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9</xdr:row>
      <xdr:rowOff>9525</xdr:rowOff>
    </xdr:from>
    <xdr:to>
      <xdr:col>10</xdr:col>
      <xdr:colOff>609601</xdr:colOff>
      <xdr:row>26</xdr:row>
      <xdr:rowOff>123826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85725</xdr:colOff>
      <xdr:row>1</xdr:row>
      <xdr:rowOff>19050</xdr:rowOff>
    </xdr:from>
    <xdr:to>
      <xdr:col>14</xdr:col>
      <xdr:colOff>552450</xdr:colOff>
      <xdr:row>2</xdr:row>
      <xdr:rowOff>190500</xdr:rowOff>
    </xdr:to>
    <xdr:pic>
      <xdr:nvPicPr>
        <xdr:cNvPr id="3" name="Picture 2" descr="RSA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401175" y="219075"/>
          <a:ext cx="466725" cy="466725"/>
        </a:xfrm>
        <a:prstGeom prst="rect">
          <a:avLst/>
        </a:prstGeom>
      </xdr:spPr>
    </xdr:pic>
    <xdr:clientData/>
  </xdr:twoCellAnchor>
  <xdr:twoCellAnchor>
    <xdr:from>
      <xdr:col>12</xdr:col>
      <xdr:colOff>47625</xdr:colOff>
      <xdr:row>6</xdr:row>
      <xdr:rowOff>0</xdr:rowOff>
    </xdr:from>
    <xdr:to>
      <xdr:col>14</xdr:col>
      <xdr:colOff>1725</xdr:colOff>
      <xdr:row>7</xdr:row>
      <xdr:rowOff>180975</xdr:rowOff>
    </xdr:to>
    <xdr:sp macro="[0]!Export_SPECTRE_V" textlink="">
      <xdr:nvSpPr>
        <xdr:cNvPr id="5" name="TextBox 4"/>
        <xdr:cNvSpPr txBox="1"/>
      </xdr:nvSpPr>
      <xdr:spPr>
        <a:xfrm>
          <a:off x="7877175" y="1352550"/>
          <a:ext cx="1440000" cy="39052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fr-FR" sz="1200" b="1">
              <a:solidFill>
                <a:srgbClr val="FF0000"/>
              </a:solidFill>
            </a:rPr>
            <a:t>Export</a:t>
          </a:r>
          <a:r>
            <a:rPr lang="fr-FR" sz="1200" b="1" baseline="0">
              <a:solidFill>
                <a:srgbClr val="FF0000"/>
              </a:solidFill>
            </a:rPr>
            <a:t> Txt</a:t>
          </a:r>
          <a:endParaRPr lang="fr-F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152400</xdr:colOff>
      <xdr:row>1</xdr:row>
      <xdr:rowOff>66675</xdr:rowOff>
    </xdr:from>
    <xdr:to>
      <xdr:col>26</xdr:col>
      <xdr:colOff>504019</xdr:colOff>
      <xdr:row>40</xdr:row>
      <xdr:rowOff>104719</xdr:rowOff>
    </xdr:to>
    <xdr:grpSp>
      <xdr:nvGrpSpPr>
        <xdr:cNvPr id="13" name="Group 12"/>
        <xdr:cNvGrpSpPr/>
      </xdr:nvGrpSpPr>
      <xdr:grpSpPr>
        <a:xfrm>
          <a:off x="10467975" y="266700"/>
          <a:ext cx="6447619" cy="8334319"/>
          <a:chOff x="10820400" y="266700"/>
          <a:chExt cx="6447619" cy="8343844"/>
        </a:xfrm>
      </xdr:grpSpPr>
      <xdr:pic>
        <xdr:nvPicPr>
          <xdr:cNvPr id="4" name="Picture 3" descr="spectrexy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rcRect b="70237"/>
          <a:stretch>
            <a:fillRect/>
          </a:stretch>
        </xdr:blipFill>
        <xdr:spPr>
          <a:xfrm>
            <a:off x="10820400" y="266700"/>
            <a:ext cx="6447619" cy="1295400"/>
          </a:xfrm>
          <a:prstGeom prst="rect">
            <a:avLst/>
          </a:prstGeom>
        </xdr:spPr>
      </xdr:pic>
      <xdr:grpSp>
        <xdr:nvGrpSpPr>
          <xdr:cNvPr id="9" name="Group 8"/>
          <xdr:cNvGrpSpPr/>
        </xdr:nvGrpSpPr>
        <xdr:grpSpPr>
          <a:xfrm>
            <a:off x="11415675" y="1571626"/>
            <a:ext cx="5621449" cy="2938378"/>
            <a:chOff x="11415675" y="1571626"/>
            <a:chExt cx="5621449" cy="2938378"/>
          </a:xfrm>
        </xdr:grpSpPr>
        <xdr:pic>
          <xdr:nvPicPr>
            <xdr:cNvPr id="6" name="Picture 5" descr="1.png"/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/>
            <a:stretch>
              <a:fillRect/>
            </a:stretch>
          </xdr:blipFill>
          <xdr:spPr>
            <a:xfrm>
              <a:off x="11477625" y="1571626"/>
              <a:ext cx="5544000" cy="768743"/>
            </a:xfrm>
            <a:prstGeom prst="rect">
              <a:avLst/>
            </a:prstGeom>
          </xdr:spPr>
        </xdr:pic>
        <xdr:pic>
          <xdr:nvPicPr>
            <xdr:cNvPr id="7" name="Picture 6" descr="2.png"/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/>
            <a:stretch>
              <a:fillRect/>
            </a:stretch>
          </xdr:blipFill>
          <xdr:spPr>
            <a:xfrm>
              <a:off x="11427600" y="2388375"/>
              <a:ext cx="5609524" cy="1666667"/>
            </a:xfrm>
            <a:prstGeom prst="rect">
              <a:avLst/>
            </a:prstGeom>
          </xdr:spPr>
        </xdr:pic>
        <xdr:pic>
          <xdr:nvPicPr>
            <xdr:cNvPr id="8" name="Picture 7" descr="3.png"/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/>
            <a:stretch>
              <a:fillRect/>
            </a:stretch>
          </xdr:blipFill>
          <xdr:spPr>
            <a:xfrm>
              <a:off x="11415675" y="4138575"/>
              <a:ext cx="5371429" cy="371429"/>
            </a:xfrm>
            <a:prstGeom prst="rect">
              <a:avLst/>
            </a:prstGeom>
          </xdr:spPr>
        </xdr:pic>
      </xdr:grpSp>
      <xdr:grpSp>
        <xdr:nvGrpSpPr>
          <xdr:cNvPr id="12" name="Group 11"/>
          <xdr:cNvGrpSpPr/>
        </xdr:nvGrpSpPr>
        <xdr:grpSpPr>
          <a:xfrm>
            <a:off x="10915650" y="4495800"/>
            <a:ext cx="6181725" cy="4114744"/>
            <a:chOff x="10915650" y="4495800"/>
            <a:chExt cx="6181725" cy="4114744"/>
          </a:xfrm>
        </xdr:grpSpPr>
        <xdr:pic>
          <xdr:nvPicPr>
            <xdr:cNvPr id="10" name="Picture 9" descr="4.png"/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/>
            <a:srcRect r="6677"/>
            <a:stretch>
              <a:fillRect/>
            </a:stretch>
          </xdr:blipFill>
          <xdr:spPr>
            <a:xfrm>
              <a:off x="10915650" y="4495800"/>
              <a:ext cx="6181725" cy="3609761"/>
            </a:xfrm>
            <a:prstGeom prst="rect">
              <a:avLst/>
            </a:prstGeom>
          </xdr:spPr>
        </xdr:pic>
        <xdr:pic>
          <xdr:nvPicPr>
            <xdr:cNvPr id="11" name="Picture 10" descr="2025-08-28_191151.png"/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/>
            <a:stretch>
              <a:fillRect/>
            </a:stretch>
          </xdr:blipFill>
          <xdr:spPr>
            <a:xfrm>
              <a:off x="11363325" y="8162925"/>
              <a:ext cx="5485715" cy="447619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</xdr:colOff>
      <xdr:row>12</xdr:row>
      <xdr:rowOff>47625</xdr:rowOff>
    </xdr:from>
    <xdr:to>
      <xdr:col>14</xdr:col>
      <xdr:colOff>742950</xdr:colOff>
      <xdr:row>32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95250</xdr:colOff>
      <xdr:row>1</xdr:row>
      <xdr:rowOff>38100</xdr:rowOff>
    </xdr:from>
    <xdr:to>
      <xdr:col>14</xdr:col>
      <xdr:colOff>527250</xdr:colOff>
      <xdr:row>2</xdr:row>
      <xdr:rowOff>184350</xdr:rowOff>
    </xdr:to>
    <xdr:pic>
      <xdr:nvPicPr>
        <xdr:cNvPr id="4" name="Picture 3" descr="RSA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68000" y="247650"/>
          <a:ext cx="432000" cy="43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514349</xdr:colOff>
      <xdr:row>7</xdr:row>
      <xdr:rowOff>66675</xdr:rowOff>
    </xdr:from>
    <xdr:to>
      <xdr:col>10</xdr:col>
      <xdr:colOff>574349</xdr:colOff>
      <xdr:row>27</xdr:row>
      <xdr:rowOff>26175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285750</xdr:colOff>
      <xdr:row>1</xdr:row>
      <xdr:rowOff>19050</xdr:rowOff>
    </xdr:from>
    <xdr:to>
      <xdr:col>13</xdr:col>
      <xdr:colOff>717750</xdr:colOff>
      <xdr:row>2</xdr:row>
      <xdr:rowOff>184350</xdr:rowOff>
    </xdr:to>
    <xdr:pic>
      <xdr:nvPicPr>
        <xdr:cNvPr id="5" name="Picture 4" descr="RSA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353425" y="22860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180975</xdr:colOff>
      <xdr:row>1</xdr:row>
      <xdr:rowOff>66675</xdr:rowOff>
    </xdr:from>
    <xdr:to>
      <xdr:col>26</xdr:col>
      <xdr:colOff>532594</xdr:colOff>
      <xdr:row>21</xdr:row>
      <xdr:rowOff>104257</xdr:rowOff>
    </xdr:to>
    <xdr:pic>
      <xdr:nvPicPr>
        <xdr:cNvPr id="6" name="Picture 5" descr="spectrexy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610725" y="276225"/>
          <a:ext cx="6447619" cy="4142857"/>
        </a:xfrm>
        <a:prstGeom prst="rect">
          <a:avLst/>
        </a:prstGeom>
      </xdr:spPr>
    </xdr:pic>
    <xdr:clientData/>
  </xdr:twoCellAnchor>
  <xdr:twoCellAnchor>
    <xdr:from>
      <xdr:col>11</xdr:col>
      <xdr:colOff>600075</xdr:colOff>
      <xdr:row>4</xdr:row>
      <xdr:rowOff>133350</xdr:rowOff>
    </xdr:from>
    <xdr:to>
      <xdr:col>13</xdr:col>
      <xdr:colOff>750000</xdr:colOff>
      <xdr:row>6</xdr:row>
      <xdr:rowOff>114300</xdr:rowOff>
    </xdr:to>
    <xdr:sp macro="[0]!Export_SPECTRE_Hxy" textlink="">
      <xdr:nvSpPr>
        <xdr:cNvPr id="7" name="TextBox 6"/>
        <xdr:cNvSpPr txBox="1"/>
      </xdr:nvSpPr>
      <xdr:spPr>
        <a:xfrm>
          <a:off x="7305675" y="1028700"/>
          <a:ext cx="1512000" cy="39052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fr-FR" sz="1200" b="1">
              <a:solidFill>
                <a:srgbClr val="FF0000"/>
              </a:solidFill>
            </a:rPr>
            <a:t>Export</a:t>
          </a:r>
          <a:r>
            <a:rPr lang="fr-FR" sz="1200" b="1" baseline="0">
              <a:solidFill>
                <a:srgbClr val="FF0000"/>
              </a:solidFill>
            </a:rPr>
            <a:t> Txt</a:t>
          </a:r>
          <a:endParaRPr lang="fr-FR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514349</xdr:colOff>
      <xdr:row>7</xdr:row>
      <xdr:rowOff>66675</xdr:rowOff>
    </xdr:from>
    <xdr:to>
      <xdr:col>10</xdr:col>
      <xdr:colOff>574349</xdr:colOff>
      <xdr:row>27</xdr:row>
      <xdr:rowOff>26175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285750</xdr:colOff>
      <xdr:row>1</xdr:row>
      <xdr:rowOff>19050</xdr:rowOff>
    </xdr:from>
    <xdr:to>
      <xdr:col>13</xdr:col>
      <xdr:colOff>717750</xdr:colOff>
      <xdr:row>2</xdr:row>
      <xdr:rowOff>184350</xdr:rowOff>
    </xdr:to>
    <xdr:pic>
      <xdr:nvPicPr>
        <xdr:cNvPr id="3" name="Picture 2" descr="RSA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353425" y="228600"/>
          <a:ext cx="432000" cy="432000"/>
        </a:xfrm>
        <a:prstGeom prst="rect">
          <a:avLst/>
        </a:prstGeom>
      </xdr:spPr>
    </xdr:pic>
    <xdr:clientData/>
  </xdr:twoCellAnchor>
  <xdr:twoCellAnchor>
    <xdr:from>
      <xdr:col>11</xdr:col>
      <xdr:colOff>600075</xdr:colOff>
      <xdr:row>4</xdr:row>
      <xdr:rowOff>133350</xdr:rowOff>
    </xdr:from>
    <xdr:to>
      <xdr:col>13</xdr:col>
      <xdr:colOff>750000</xdr:colOff>
      <xdr:row>6</xdr:row>
      <xdr:rowOff>114300</xdr:rowOff>
    </xdr:to>
    <xdr:sp macro="[0]!Export_SPECTRE_Vxy" textlink="">
      <xdr:nvSpPr>
        <xdr:cNvPr id="5" name="TextBox 4"/>
        <xdr:cNvSpPr txBox="1"/>
      </xdr:nvSpPr>
      <xdr:spPr>
        <a:xfrm>
          <a:off x="7305675" y="1028700"/>
          <a:ext cx="1512000" cy="39052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fr-FR" sz="1200" b="1">
              <a:solidFill>
                <a:srgbClr val="FF0000"/>
              </a:solidFill>
            </a:rPr>
            <a:t>Export</a:t>
          </a:r>
          <a:r>
            <a:rPr lang="fr-FR" sz="1200" b="1" baseline="0">
              <a:solidFill>
                <a:srgbClr val="FF0000"/>
              </a:solidFill>
            </a:rPr>
            <a:t> Txt</a:t>
          </a:r>
          <a:endParaRPr lang="fr-F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152400</xdr:colOff>
      <xdr:row>1</xdr:row>
      <xdr:rowOff>66675</xdr:rowOff>
    </xdr:from>
    <xdr:to>
      <xdr:col>26</xdr:col>
      <xdr:colOff>504019</xdr:colOff>
      <xdr:row>40</xdr:row>
      <xdr:rowOff>104719</xdr:rowOff>
    </xdr:to>
    <xdr:grpSp>
      <xdr:nvGrpSpPr>
        <xdr:cNvPr id="6" name="Group 5"/>
        <xdr:cNvGrpSpPr/>
      </xdr:nvGrpSpPr>
      <xdr:grpSpPr>
        <a:xfrm>
          <a:off x="9839325" y="276225"/>
          <a:ext cx="6447619" cy="8143819"/>
          <a:chOff x="10820400" y="266700"/>
          <a:chExt cx="6447619" cy="8343844"/>
        </a:xfrm>
      </xdr:grpSpPr>
      <xdr:pic>
        <xdr:nvPicPr>
          <xdr:cNvPr id="7" name="Picture 6" descr="spectrexy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rcRect b="70237"/>
          <a:stretch>
            <a:fillRect/>
          </a:stretch>
        </xdr:blipFill>
        <xdr:spPr>
          <a:xfrm>
            <a:off x="10820400" y="266700"/>
            <a:ext cx="6447619" cy="1295400"/>
          </a:xfrm>
          <a:prstGeom prst="rect">
            <a:avLst/>
          </a:prstGeom>
        </xdr:spPr>
      </xdr:pic>
      <xdr:grpSp>
        <xdr:nvGrpSpPr>
          <xdr:cNvPr id="8" name="Group 8"/>
          <xdr:cNvGrpSpPr/>
        </xdr:nvGrpSpPr>
        <xdr:grpSpPr>
          <a:xfrm>
            <a:off x="11415675" y="1571626"/>
            <a:ext cx="5621449" cy="2938378"/>
            <a:chOff x="11415675" y="1571626"/>
            <a:chExt cx="5621449" cy="2938378"/>
          </a:xfrm>
        </xdr:grpSpPr>
        <xdr:pic>
          <xdr:nvPicPr>
            <xdr:cNvPr id="12" name="Picture 5" descr="1.png"/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/>
            <a:stretch>
              <a:fillRect/>
            </a:stretch>
          </xdr:blipFill>
          <xdr:spPr>
            <a:xfrm>
              <a:off x="11477625" y="1571626"/>
              <a:ext cx="5544000" cy="768743"/>
            </a:xfrm>
            <a:prstGeom prst="rect">
              <a:avLst/>
            </a:prstGeom>
          </xdr:spPr>
        </xdr:pic>
        <xdr:pic>
          <xdr:nvPicPr>
            <xdr:cNvPr id="13" name="Picture 12" descr="2.png"/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/>
            <a:stretch>
              <a:fillRect/>
            </a:stretch>
          </xdr:blipFill>
          <xdr:spPr>
            <a:xfrm>
              <a:off x="11427600" y="2388375"/>
              <a:ext cx="5609524" cy="1666667"/>
            </a:xfrm>
            <a:prstGeom prst="rect">
              <a:avLst/>
            </a:prstGeom>
          </xdr:spPr>
        </xdr:pic>
        <xdr:pic>
          <xdr:nvPicPr>
            <xdr:cNvPr id="14" name="Picture 13" descr="3.png"/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/>
            <a:stretch>
              <a:fillRect/>
            </a:stretch>
          </xdr:blipFill>
          <xdr:spPr>
            <a:xfrm>
              <a:off x="11415675" y="4138575"/>
              <a:ext cx="5371429" cy="371429"/>
            </a:xfrm>
            <a:prstGeom prst="rect">
              <a:avLst/>
            </a:prstGeom>
          </xdr:spPr>
        </xdr:pic>
      </xdr:grpSp>
      <xdr:grpSp>
        <xdr:nvGrpSpPr>
          <xdr:cNvPr id="9" name="Group 11"/>
          <xdr:cNvGrpSpPr/>
        </xdr:nvGrpSpPr>
        <xdr:grpSpPr>
          <a:xfrm>
            <a:off x="10915650" y="4495800"/>
            <a:ext cx="6181725" cy="4114744"/>
            <a:chOff x="10915650" y="4495800"/>
            <a:chExt cx="6181725" cy="4114744"/>
          </a:xfrm>
        </xdr:grpSpPr>
        <xdr:pic>
          <xdr:nvPicPr>
            <xdr:cNvPr id="10" name="Picture 9" descr="4.png"/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/>
            <a:srcRect r="6677"/>
            <a:stretch>
              <a:fillRect/>
            </a:stretch>
          </xdr:blipFill>
          <xdr:spPr>
            <a:xfrm>
              <a:off x="10915650" y="4495800"/>
              <a:ext cx="6181725" cy="3609761"/>
            </a:xfrm>
            <a:prstGeom prst="rect">
              <a:avLst/>
            </a:prstGeom>
          </xdr:spPr>
        </xdr:pic>
        <xdr:pic>
          <xdr:nvPicPr>
            <xdr:cNvPr id="11" name="Picture 10" descr="2025-08-28_191151.png"/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/>
            <a:stretch>
              <a:fillRect/>
            </a:stretch>
          </xdr:blipFill>
          <xdr:spPr>
            <a:xfrm>
              <a:off x="11363325" y="8162925"/>
              <a:ext cx="5485715" cy="447619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161923</xdr:colOff>
      <xdr:row>21</xdr:row>
      <xdr:rowOff>47624</xdr:rowOff>
    </xdr:from>
    <xdr:to>
      <xdr:col>8</xdr:col>
      <xdr:colOff>1123948</xdr:colOff>
      <xdr:row>27</xdr:row>
      <xdr:rowOff>362174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428625</xdr:colOff>
      <xdr:row>1</xdr:row>
      <xdr:rowOff>47625</xdr:rowOff>
    </xdr:from>
    <xdr:to>
      <xdr:col>10</xdr:col>
      <xdr:colOff>788625</xdr:colOff>
      <xdr:row>2</xdr:row>
      <xdr:rowOff>140925</xdr:rowOff>
    </xdr:to>
    <xdr:pic>
      <xdr:nvPicPr>
        <xdr:cNvPr id="3" name="Picture 2" descr="RSA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439150" y="457200"/>
          <a:ext cx="360000" cy="360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206467</xdr:rowOff>
    </xdr:from>
    <xdr:to>
      <xdr:col>23</xdr:col>
      <xdr:colOff>85724</xdr:colOff>
      <xdr:row>13</xdr:row>
      <xdr:rowOff>207577</xdr:rowOff>
    </xdr:to>
    <xdr:pic>
      <xdr:nvPicPr>
        <xdr:cNvPr id="3" name="Picture 2" descr="diaphragme RPA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144126" y="1111342"/>
          <a:ext cx="6791324" cy="2068035"/>
        </a:xfrm>
        <a:prstGeom prst="rect">
          <a:avLst/>
        </a:prstGeom>
      </xdr:spPr>
    </xdr:pic>
    <xdr:clientData/>
  </xdr:twoCellAnchor>
  <xdr:twoCellAnchor editAs="oneCell">
    <xdr:from>
      <xdr:col>10</xdr:col>
      <xdr:colOff>1219200</xdr:colOff>
      <xdr:row>1</xdr:row>
      <xdr:rowOff>19050</xdr:rowOff>
    </xdr:from>
    <xdr:to>
      <xdr:col>10</xdr:col>
      <xdr:colOff>1651200</xdr:colOff>
      <xdr:row>2</xdr:row>
      <xdr:rowOff>184350</xdr:rowOff>
    </xdr:to>
    <xdr:pic>
      <xdr:nvPicPr>
        <xdr:cNvPr id="4" name="Picture 3" descr="RSA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201150" y="228600"/>
          <a:ext cx="432000" cy="432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285751</xdr:colOff>
      <xdr:row>1</xdr:row>
      <xdr:rowOff>19050</xdr:rowOff>
    </xdr:from>
    <xdr:to>
      <xdr:col>16</xdr:col>
      <xdr:colOff>717751</xdr:colOff>
      <xdr:row>2</xdr:row>
      <xdr:rowOff>184350</xdr:rowOff>
    </xdr:to>
    <xdr:pic>
      <xdr:nvPicPr>
        <xdr:cNvPr id="2" name="Picture 1" descr="RSA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229976" y="22860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285750</xdr:colOff>
      <xdr:row>1</xdr:row>
      <xdr:rowOff>9525</xdr:rowOff>
    </xdr:from>
    <xdr:to>
      <xdr:col>28</xdr:col>
      <xdr:colOff>265941</xdr:colOff>
      <xdr:row>26</xdr:row>
      <xdr:rowOff>113587</xdr:rowOff>
    </xdr:to>
    <xdr:pic>
      <xdr:nvPicPr>
        <xdr:cNvPr id="3" name="Picture 2" descr="sys6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2601575" y="219075"/>
          <a:ext cx="6076191" cy="5704762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27</xdr:row>
      <xdr:rowOff>0</xdr:rowOff>
    </xdr:from>
    <xdr:to>
      <xdr:col>28</xdr:col>
      <xdr:colOff>342103</xdr:colOff>
      <xdr:row>43</xdr:row>
      <xdr:rowOff>142457</xdr:rowOff>
    </xdr:to>
    <xdr:pic>
      <xdr:nvPicPr>
        <xdr:cNvPr id="4" name="Picture 3" descr="sys61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2372975" y="6019800"/>
          <a:ext cx="6380953" cy="3342857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95250</xdr:colOff>
      <xdr:row>42</xdr:row>
      <xdr:rowOff>19050</xdr:rowOff>
    </xdr:from>
    <xdr:to>
      <xdr:col>27</xdr:col>
      <xdr:colOff>428625</xdr:colOff>
      <xdr:row>64</xdr:row>
      <xdr:rowOff>105279</xdr:rowOff>
    </xdr:to>
    <xdr:pic>
      <xdr:nvPicPr>
        <xdr:cNvPr id="5" name="Picture 4" descr="sys62.pn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3020675" y="9039225"/>
          <a:ext cx="5210175" cy="4486779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66</xdr:row>
      <xdr:rowOff>0</xdr:rowOff>
    </xdr:from>
    <xdr:to>
      <xdr:col>28</xdr:col>
      <xdr:colOff>84960</xdr:colOff>
      <xdr:row>76</xdr:row>
      <xdr:rowOff>133083</xdr:rowOff>
    </xdr:to>
    <xdr:pic>
      <xdr:nvPicPr>
        <xdr:cNvPr id="6" name="Picture 5" descr="sys63.pn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2372975" y="13820775"/>
          <a:ext cx="6123810" cy="213333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285750</xdr:colOff>
      <xdr:row>1</xdr:row>
      <xdr:rowOff>19050</xdr:rowOff>
    </xdr:from>
    <xdr:to>
      <xdr:col>20</xdr:col>
      <xdr:colOff>717750</xdr:colOff>
      <xdr:row>2</xdr:row>
      <xdr:rowOff>184350</xdr:rowOff>
    </xdr:to>
    <xdr:pic>
      <xdr:nvPicPr>
        <xdr:cNvPr id="3" name="Picture 2" descr="RSA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372725" y="22860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57150</xdr:colOff>
      <xdr:row>4</xdr:row>
      <xdr:rowOff>57150</xdr:rowOff>
    </xdr:from>
    <xdr:to>
      <xdr:col>32</xdr:col>
      <xdr:colOff>542103</xdr:colOff>
      <xdr:row>29</xdr:row>
      <xdr:rowOff>151703</xdr:rowOff>
    </xdr:to>
    <xdr:pic>
      <xdr:nvPicPr>
        <xdr:cNvPr id="4" name="Picture 3" descr="deplacement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506200" y="962025"/>
          <a:ext cx="6580953" cy="558095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310988</xdr:colOff>
      <xdr:row>11</xdr:row>
      <xdr:rowOff>57150</xdr:rowOff>
    </xdr:from>
    <xdr:to>
      <xdr:col>23</xdr:col>
      <xdr:colOff>532804</xdr:colOff>
      <xdr:row>26</xdr:row>
      <xdr:rowOff>0</xdr:rowOff>
    </xdr:to>
    <xdr:pic>
      <xdr:nvPicPr>
        <xdr:cNvPr id="3" name="Picture 2" descr="P-delta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131388" y="2543175"/>
          <a:ext cx="3879416" cy="3228975"/>
        </a:xfrm>
        <a:prstGeom prst="rect">
          <a:avLst/>
        </a:prstGeom>
      </xdr:spPr>
    </xdr:pic>
    <xdr:clientData/>
  </xdr:twoCellAnchor>
  <xdr:twoCellAnchor editAs="oneCell">
    <xdr:from>
      <xdr:col>17</xdr:col>
      <xdr:colOff>400050</xdr:colOff>
      <xdr:row>6</xdr:row>
      <xdr:rowOff>116353</xdr:rowOff>
    </xdr:from>
    <xdr:to>
      <xdr:col>26</xdr:col>
      <xdr:colOff>552450</xdr:colOff>
      <xdr:row>11</xdr:row>
      <xdr:rowOff>18875</xdr:rowOff>
    </xdr:to>
    <xdr:pic>
      <xdr:nvPicPr>
        <xdr:cNvPr id="4" name="Picture 3" descr="pdelta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220450" y="1507003"/>
          <a:ext cx="5638800" cy="997897"/>
        </a:xfrm>
        <a:prstGeom prst="rect">
          <a:avLst/>
        </a:prstGeom>
      </xdr:spPr>
    </xdr:pic>
    <xdr:clientData/>
  </xdr:twoCellAnchor>
  <xdr:twoCellAnchor editAs="oneCell">
    <xdr:from>
      <xdr:col>16</xdr:col>
      <xdr:colOff>295275</xdr:colOff>
      <xdr:row>1</xdr:row>
      <xdr:rowOff>19050</xdr:rowOff>
    </xdr:from>
    <xdr:to>
      <xdr:col>16</xdr:col>
      <xdr:colOff>727275</xdr:colOff>
      <xdr:row>2</xdr:row>
      <xdr:rowOff>184350</xdr:rowOff>
    </xdr:to>
    <xdr:pic>
      <xdr:nvPicPr>
        <xdr:cNvPr id="5" name="Picture 4" descr="RSA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0353675" y="228600"/>
          <a:ext cx="432000" cy="4320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457200</xdr:colOff>
      <xdr:row>4</xdr:row>
      <xdr:rowOff>66675</xdr:rowOff>
    </xdr:from>
    <xdr:to>
      <xdr:col>27</xdr:col>
      <xdr:colOff>8743</xdr:colOff>
      <xdr:row>11</xdr:row>
      <xdr:rowOff>85526</xdr:rowOff>
    </xdr:to>
    <xdr:pic>
      <xdr:nvPicPr>
        <xdr:cNvPr id="4" name="Picture 3" descr="renversement1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287125" y="971550"/>
          <a:ext cx="6257143" cy="1590476"/>
        </a:xfrm>
        <a:prstGeom prst="rect">
          <a:avLst/>
        </a:prstGeom>
      </xdr:spPr>
    </xdr:pic>
    <xdr:clientData/>
  </xdr:twoCellAnchor>
  <xdr:twoCellAnchor editAs="oneCell">
    <xdr:from>
      <xdr:col>17</xdr:col>
      <xdr:colOff>26175</xdr:colOff>
      <xdr:row>11</xdr:row>
      <xdr:rowOff>64275</xdr:rowOff>
    </xdr:from>
    <xdr:to>
      <xdr:col>26</xdr:col>
      <xdr:colOff>568347</xdr:colOff>
      <xdr:row>15</xdr:row>
      <xdr:rowOff>102261</xdr:rowOff>
    </xdr:to>
    <xdr:pic>
      <xdr:nvPicPr>
        <xdr:cNvPr id="5" name="Picture 4" descr="renversement2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465700" y="2540775"/>
          <a:ext cx="6028572" cy="914286"/>
        </a:xfrm>
        <a:prstGeom prst="rect">
          <a:avLst/>
        </a:prstGeom>
      </xdr:spPr>
    </xdr:pic>
    <xdr:clientData/>
  </xdr:twoCellAnchor>
  <xdr:twoCellAnchor editAs="oneCell">
    <xdr:from>
      <xdr:col>15</xdr:col>
      <xdr:colOff>552450</xdr:colOff>
      <xdr:row>1</xdr:row>
      <xdr:rowOff>19050</xdr:rowOff>
    </xdr:from>
    <xdr:to>
      <xdr:col>15</xdr:col>
      <xdr:colOff>984450</xdr:colOff>
      <xdr:row>2</xdr:row>
      <xdr:rowOff>184350</xdr:rowOff>
    </xdr:to>
    <xdr:pic>
      <xdr:nvPicPr>
        <xdr:cNvPr id="6" name="Picture 5" descr="RSA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0372725" y="228600"/>
          <a:ext cx="432000" cy="4320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457200</xdr:colOff>
      <xdr:row>1</xdr:row>
      <xdr:rowOff>38100</xdr:rowOff>
    </xdr:from>
    <xdr:to>
      <xdr:col>12</xdr:col>
      <xdr:colOff>853200</xdr:colOff>
      <xdr:row>2</xdr:row>
      <xdr:rowOff>167400</xdr:rowOff>
    </xdr:to>
    <xdr:pic>
      <xdr:nvPicPr>
        <xdr:cNvPr id="3" name="Picture 2" descr="RSA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096375" y="247650"/>
          <a:ext cx="396000" cy="396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4</xdr:row>
      <xdr:rowOff>66675</xdr:rowOff>
    </xdr:from>
    <xdr:to>
      <xdr:col>24</xdr:col>
      <xdr:colOff>408768</xdr:colOff>
      <xdr:row>20</xdr:row>
      <xdr:rowOff>113845</xdr:rowOff>
    </xdr:to>
    <xdr:pic>
      <xdr:nvPicPr>
        <xdr:cNvPr id="4" name="Picture 3" descr="resistance plancher 1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25275" y="971550"/>
          <a:ext cx="6457143" cy="3638095"/>
        </a:xfrm>
        <a:prstGeom prst="rect">
          <a:avLst/>
        </a:prstGeom>
      </xdr:spPr>
    </xdr:pic>
    <xdr:clientData/>
  </xdr:twoCellAnchor>
  <xdr:twoCellAnchor editAs="oneCell">
    <xdr:from>
      <xdr:col>14</xdr:col>
      <xdr:colOff>171450</xdr:colOff>
      <xdr:row>20</xdr:row>
      <xdr:rowOff>0</xdr:rowOff>
    </xdr:from>
    <xdr:to>
      <xdr:col>24</xdr:col>
      <xdr:colOff>380212</xdr:colOff>
      <xdr:row>22</xdr:row>
      <xdr:rowOff>95183</xdr:rowOff>
    </xdr:to>
    <xdr:pic>
      <xdr:nvPicPr>
        <xdr:cNvPr id="5" name="Picture 4" descr="resistance plancher 2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849100" y="4495800"/>
          <a:ext cx="6304762" cy="5333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haine%20youtube/CHAIBEDRA%20BELKACEM/Video/Video%2010/SEANCE%2019/Effort%20tranchant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érification"/>
      <sheetName val="Résultats"/>
      <sheetName val="Feuil3"/>
      <sheetName val="Feuil4"/>
    </sheetNames>
    <sheetDataSet>
      <sheetData sheetId="0"/>
      <sheetData sheetId="1" refreshError="1"/>
      <sheetData sheetId="2" refreshError="1"/>
      <sheetData sheetId="3">
        <row r="3">
          <cell r="B3" t="str">
            <v>Fissuration peu nuisible</v>
          </cell>
        </row>
        <row r="4">
          <cell r="B4" t="str">
            <v xml:space="preserve">Fissuration préjudiciable 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https://t.me/MorsliHammou" TargetMode="External"/><Relationship Id="rId1" Type="http://schemas.openxmlformats.org/officeDocument/2006/relationships/hyperlink" Target="mailto:hammoutota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>
    <tabColor rgb="FF002060"/>
  </sheetPr>
  <dimension ref="A1:AA412"/>
  <sheetViews>
    <sheetView showGridLines="0" workbookViewId="0">
      <selection activeCell="A9" sqref="A9"/>
    </sheetView>
  </sheetViews>
  <sheetFormatPr defaultColWidth="9.140625" defaultRowHeight="16.5"/>
  <cols>
    <col min="1" max="3" width="9.140625" style="87"/>
    <col min="4" max="11" width="10" style="87" customWidth="1"/>
    <col min="12" max="12" width="6.85546875" style="87" customWidth="1"/>
    <col min="13" max="14" width="11.140625" style="87" bestFit="1" customWidth="1"/>
    <col min="15" max="15" width="8.7109375" style="87" bestFit="1" customWidth="1"/>
    <col min="16" max="16" width="11.140625" style="87" bestFit="1" customWidth="1"/>
    <col min="17" max="16384" width="9.140625" style="87"/>
  </cols>
  <sheetData>
    <row r="1" spans="1:27" ht="15.75" customHeight="1" thickBot="1">
      <c r="A1" s="83"/>
      <c r="B1" s="83"/>
      <c r="C1" s="83"/>
      <c r="D1" s="83"/>
      <c r="E1" s="83"/>
      <c r="F1" s="83"/>
      <c r="G1" s="83"/>
      <c r="H1" s="84"/>
      <c r="I1" s="84"/>
      <c r="J1" s="84"/>
      <c r="K1" s="84"/>
      <c r="L1" s="84"/>
      <c r="M1" s="84"/>
    </row>
    <row r="2" spans="1:27" ht="23.25" thickTop="1">
      <c r="A2" s="83"/>
      <c r="B2" s="83"/>
      <c r="C2" s="258" t="s">
        <v>238</v>
      </c>
      <c r="D2" s="259"/>
      <c r="E2" s="259"/>
      <c r="F2" s="259"/>
      <c r="G2" s="259"/>
      <c r="H2" s="259"/>
      <c r="I2" s="259"/>
      <c r="J2" s="259"/>
      <c r="K2" s="259"/>
      <c r="L2" s="259"/>
      <c r="M2" s="259"/>
      <c r="N2" s="259"/>
      <c r="O2" s="260"/>
      <c r="Q2" s="204"/>
      <c r="R2" s="205"/>
      <c r="S2" s="205"/>
      <c r="T2" s="205"/>
      <c r="U2" s="205"/>
      <c r="V2" s="205"/>
      <c r="W2" s="205"/>
      <c r="X2" s="205"/>
      <c r="Y2" s="205"/>
      <c r="Z2" s="205"/>
      <c r="AA2" s="206"/>
    </row>
    <row r="3" spans="1:27" ht="17.25" thickBot="1">
      <c r="A3" s="83"/>
      <c r="B3" s="83"/>
      <c r="C3" s="88" t="s">
        <v>151</v>
      </c>
      <c r="D3" s="170"/>
      <c r="E3" s="89" t="str">
        <f>'CALCUL RPA'!$D$3</f>
        <v>Vers 1.5.1</v>
      </c>
      <c r="F3" s="90"/>
      <c r="G3" s="90"/>
      <c r="H3" s="261"/>
      <c r="I3" s="261"/>
      <c r="J3" s="261"/>
      <c r="K3" s="261"/>
      <c r="L3" s="261"/>
      <c r="M3" s="261"/>
      <c r="N3" s="261"/>
      <c r="O3" s="262"/>
      <c r="Q3" s="207"/>
      <c r="R3" s="31"/>
      <c r="S3" s="31"/>
      <c r="T3" s="31"/>
      <c r="U3" s="31"/>
      <c r="V3" s="31"/>
      <c r="W3" s="31"/>
      <c r="X3" s="31"/>
      <c r="Y3" s="31"/>
      <c r="Z3" s="31"/>
      <c r="AA3" s="208"/>
    </row>
    <row r="4" spans="1:27" ht="17.25" thickTop="1">
      <c r="A4" s="83"/>
      <c r="B4" s="83"/>
      <c r="O4" s="91"/>
      <c r="Q4" s="207"/>
      <c r="R4" s="31"/>
      <c r="S4" s="31"/>
      <c r="T4" s="31"/>
      <c r="U4" s="31"/>
      <c r="V4" s="31"/>
      <c r="W4" s="31"/>
      <c r="X4" s="31"/>
      <c r="Y4" s="31"/>
      <c r="Z4" s="31"/>
      <c r="AA4" s="208"/>
    </row>
    <row r="5" spans="1:27">
      <c r="A5" s="83"/>
      <c r="B5" s="83"/>
      <c r="C5" s="84"/>
      <c r="D5" s="84"/>
      <c r="E5" s="84"/>
      <c r="F5" s="84"/>
      <c r="G5" s="84"/>
      <c r="H5" s="84"/>
      <c r="I5" s="84"/>
      <c r="J5" s="84"/>
      <c r="K5" s="84"/>
      <c r="L5" s="84"/>
      <c r="O5" s="91"/>
      <c r="Q5" s="207"/>
      <c r="R5" s="31"/>
      <c r="S5" s="31"/>
      <c r="T5" s="31"/>
      <c r="U5" s="31"/>
      <c r="V5" s="31"/>
      <c r="W5" s="31"/>
      <c r="X5" s="31"/>
      <c r="Y5" s="31"/>
      <c r="Z5" s="31"/>
      <c r="AA5" s="208"/>
    </row>
    <row r="6" spans="1:27">
      <c r="A6" s="83"/>
      <c r="B6" s="83"/>
      <c r="C6" s="268" t="s">
        <v>3</v>
      </c>
      <c r="D6" s="268"/>
      <c r="E6" s="268" t="s">
        <v>0</v>
      </c>
      <c r="F6" s="268"/>
      <c r="G6" s="268" t="s">
        <v>1</v>
      </c>
      <c r="H6" s="268"/>
      <c r="I6" s="268" t="s">
        <v>16</v>
      </c>
      <c r="J6" s="268"/>
      <c r="K6" s="268" t="s">
        <v>118</v>
      </c>
      <c r="L6" s="268"/>
      <c r="O6" s="91"/>
      <c r="Q6" s="207"/>
      <c r="R6" s="31"/>
      <c r="S6" s="31"/>
      <c r="T6" s="31"/>
      <c r="U6" s="31"/>
      <c r="V6" s="31"/>
      <c r="W6" s="31"/>
      <c r="X6" s="31"/>
      <c r="Y6" s="31"/>
      <c r="Z6" s="31"/>
      <c r="AA6" s="208"/>
    </row>
    <row r="7" spans="1:27">
      <c r="A7" s="83"/>
      <c r="B7" s="83"/>
      <c r="C7" s="265" t="s">
        <v>24</v>
      </c>
      <c r="D7" s="265"/>
      <c r="E7" s="265" t="s">
        <v>10</v>
      </c>
      <c r="F7" s="265"/>
      <c r="G7" s="265" t="s">
        <v>13</v>
      </c>
      <c r="H7" s="265"/>
      <c r="I7" s="266">
        <v>1.2</v>
      </c>
      <c r="J7" s="266"/>
      <c r="K7" s="267">
        <v>4.5</v>
      </c>
      <c r="L7" s="267"/>
      <c r="O7" s="91"/>
      <c r="Q7" s="207"/>
      <c r="R7" s="31"/>
      <c r="S7" s="31"/>
      <c r="T7" s="31"/>
      <c r="U7" s="31"/>
      <c r="V7" s="31"/>
      <c r="W7" s="31"/>
      <c r="X7" s="31"/>
      <c r="Y7" s="31"/>
      <c r="Z7" s="31"/>
      <c r="AA7" s="208"/>
    </row>
    <row r="8" spans="1:27">
      <c r="A8" s="83"/>
      <c r="B8" s="83"/>
      <c r="O8" s="91"/>
      <c r="Q8" s="207"/>
      <c r="R8" s="31"/>
      <c r="S8" s="31"/>
      <c r="T8" s="31"/>
      <c r="U8" s="31"/>
      <c r="V8" s="31"/>
      <c r="W8" s="31"/>
      <c r="X8" s="31"/>
      <c r="Y8" s="31"/>
      <c r="Z8" s="31"/>
      <c r="AA8" s="208"/>
    </row>
    <row r="9" spans="1:27">
      <c r="A9" s="84"/>
      <c r="B9" s="84"/>
      <c r="C9" s="85" t="s">
        <v>15</v>
      </c>
      <c r="D9" s="85" t="s">
        <v>7</v>
      </c>
      <c r="E9" s="85" t="s">
        <v>35</v>
      </c>
      <c r="F9" s="85" t="s">
        <v>42</v>
      </c>
      <c r="G9" s="85" t="s">
        <v>2</v>
      </c>
      <c r="H9" s="85" t="s">
        <v>18</v>
      </c>
      <c r="I9" s="85" t="s">
        <v>19</v>
      </c>
      <c r="J9" s="85" t="s">
        <v>36</v>
      </c>
      <c r="K9" s="263" t="s">
        <v>132</v>
      </c>
      <c r="L9" s="263"/>
      <c r="O9" s="91"/>
      <c r="Q9" s="207"/>
      <c r="R9" s="31"/>
      <c r="S9" s="31"/>
      <c r="T9" s="31"/>
      <c r="U9" s="31"/>
      <c r="V9" s="31"/>
      <c r="W9" s="31"/>
      <c r="X9" s="31"/>
      <c r="Y9" s="31"/>
      <c r="Z9" s="31"/>
      <c r="AA9" s="208"/>
    </row>
    <row r="10" spans="1:27">
      <c r="A10" s="84"/>
      <c r="B10" s="84"/>
      <c r="C10" s="86">
        <f>Calcul1!B44</f>
        <v>0.25</v>
      </c>
      <c r="D10" s="86">
        <f>Calcul1!C44</f>
        <v>1.2</v>
      </c>
      <c r="E10" s="86">
        <f>Calcul1!D44</f>
        <v>1.3</v>
      </c>
      <c r="F10" s="86">
        <f>Calcul1!E44</f>
        <v>1.2</v>
      </c>
      <c r="G10" s="86">
        <f>Calcul1!F44</f>
        <v>4.5</v>
      </c>
      <c r="H10" s="86">
        <f>Calcul1!G44</f>
        <v>0.15</v>
      </c>
      <c r="I10" s="86">
        <f>Calcul1!H44</f>
        <v>0.6</v>
      </c>
      <c r="J10" s="86">
        <f>Calcul1!I44</f>
        <v>2</v>
      </c>
      <c r="K10" s="264">
        <f>0.2*$C$10*$D$10</f>
        <v>0.06</v>
      </c>
      <c r="L10" s="264"/>
      <c r="O10" s="91"/>
      <c r="Q10" s="207"/>
      <c r="R10" s="31"/>
      <c r="S10" s="31"/>
      <c r="T10" s="31"/>
      <c r="U10" s="31"/>
      <c r="V10" s="31"/>
      <c r="W10" s="31"/>
      <c r="X10" s="31"/>
      <c r="Y10" s="31"/>
      <c r="Z10" s="31"/>
      <c r="AA10" s="208"/>
    </row>
    <row r="11" spans="1:27" ht="17.25" thickBot="1">
      <c r="A11" s="84"/>
      <c r="B11" s="84"/>
      <c r="C11" s="139"/>
      <c r="D11" s="139"/>
      <c r="E11" s="139"/>
      <c r="F11" s="139"/>
      <c r="G11" s="139"/>
      <c r="H11" s="139"/>
      <c r="I11" s="139"/>
      <c r="J11" s="139"/>
      <c r="K11" s="139"/>
      <c r="L11" s="140"/>
      <c r="M11" s="85" t="s">
        <v>41</v>
      </c>
      <c r="N11" s="85" t="s">
        <v>129</v>
      </c>
      <c r="O11" s="91"/>
      <c r="Q11" s="207"/>
      <c r="R11" s="31"/>
      <c r="S11" s="31"/>
      <c r="T11" s="31"/>
      <c r="U11" s="31"/>
      <c r="V11" s="31"/>
      <c r="W11" s="31"/>
      <c r="X11" s="31"/>
      <c r="Y11" s="31"/>
      <c r="Z11" s="31"/>
      <c r="AA11" s="208"/>
    </row>
    <row r="12" spans="1:27">
      <c r="C12" s="249"/>
      <c r="D12" s="250"/>
      <c r="E12" s="250"/>
      <c r="F12" s="250"/>
      <c r="G12" s="250"/>
      <c r="H12" s="250"/>
      <c r="I12" s="250"/>
      <c r="J12" s="250"/>
      <c r="K12" s="251"/>
      <c r="L12" s="141"/>
      <c r="M12" s="86">
        <v>0</v>
      </c>
      <c r="N12" s="93">
        <f>ROUND(IF(Calcul1!K46&lt;$K$10,0.2*$C$10*$D$10,Calcul1!K46),5)</f>
        <v>0.26</v>
      </c>
      <c r="Q12" s="207"/>
      <c r="R12" s="31"/>
      <c r="S12" s="31"/>
      <c r="T12" s="31"/>
      <c r="U12" s="31"/>
      <c r="V12" s="31"/>
      <c r="W12" s="31"/>
      <c r="X12" s="31"/>
      <c r="Y12" s="31"/>
      <c r="Z12" s="31"/>
      <c r="AA12" s="208"/>
    </row>
    <row r="13" spans="1:27">
      <c r="C13" s="252"/>
      <c r="D13" s="253"/>
      <c r="E13" s="253"/>
      <c r="F13" s="253"/>
      <c r="G13" s="253"/>
      <c r="H13" s="253"/>
      <c r="I13" s="253"/>
      <c r="J13" s="253"/>
      <c r="K13" s="254"/>
      <c r="L13" s="141"/>
      <c r="M13" s="86">
        <v>0.01</v>
      </c>
      <c r="N13" s="93">
        <f>ROUND(IF(Calcul1!K47&lt;$K$10,0.2*$C$10*$D$10,Calcul1!K47),5)</f>
        <v>0.26</v>
      </c>
      <c r="Q13" s="207"/>
      <c r="R13" s="31"/>
      <c r="S13" s="31"/>
      <c r="T13" s="31"/>
      <c r="U13" s="31"/>
      <c r="V13" s="31"/>
      <c r="W13" s="31"/>
      <c r="X13" s="31"/>
      <c r="Y13" s="31"/>
      <c r="Z13" s="31"/>
      <c r="AA13" s="208"/>
    </row>
    <row r="14" spans="1:27">
      <c r="C14" s="252"/>
      <c r="D14" s="253"/>
      <c r="E14" s="253"/>
      <c r="F14" s="253"/>
      <c r="G14" s="253"/>
      <c r="H14" s="253"/>
      <c r="I14" s="253"/>
      <c r="J14" s="253"/>
      <c r="K14" s="254"/>
      <c r="L14" s="141"/>
      <c r="M14" s="86">
        <v>0.02</v>
      </c>
      <c r="N14" s="93">
        <f>ROUND(IF(Calcul1!K48&lt;$K$10,0.2*$C$10*$D$10,Calcul1!K48),5)</f>
        <v>0.26</v>
      </c>
      <c r="Q14" s="207"/>
      <c r="R14" s="31"/>
      <c r="S14" s="31"/>
      <c r="T14" s="31"/>
      <c r="U14" s="31"/>
      <c r="V14" s="31"/>
      <c r="W14" s="31"/>
      <c r="X14" s="31"/>
      <c r="Y14" s="31"/>
      <c r="Z14" s="31"/>
      <c r="AA14" s="208"/>
    </row>
    <row r="15" spans="1:27">
      <c r="C15" s="252"/>
      <c r="D15" s="253"/>
      <c r="E15" s="253"/>
      <c r="F15" s="253"/>
      <c r="G15" s="253"/>
      <c r="H15" s="253"/>
      <c r="I15" s="253"/>
      <c r="J15" s="253"/>
      <c r="K15" s="254"/>
      <c r="L15" s="141"/>
      <c r="M15" s="86">
        <v>0.03</v>
      </c>
      <c r="N15" s="93">
        <f>ROUND(IF(Calcul1!K49&lt;$K$10,0.2*$C$10*$D$10,Calcul1!K49),5)</f>
        <v>0.26</v>
      </c>
      <c r="Q15" s="207"/>
      <c r="R15" s="31"/>
      <c r="S15" s="31"/>
      <c r="T15" s="31"/>
      <c r="U15" s="31"/>
      <c r="V15" s="31"/>
      <c r="W15" s="31"/>
      <c r="X15" s="31"/>
      <c r="Y15" s="31"/>
      <c r="Z15" s="31"/>
      <c r="AA15" s="208"/>
    </row>
    <row r="16" spans="1:27">
      <c r="C16" s="252"/>
      <c r="D16" s="253"/>
      <c r="E16" s="253"/>
      <c r="F16" s="253"/>
      <c r="G16" s="253"/>
      <c r="H16" s="253"/>
      <c r="I16" s="253"/>
      <c r="J16" s="253"/>
      <c r="K16" s="254"/>
      <c r="L16" s="141"/>
      <c r="M16" s="86">
        <v>0.04</v>
      </c>
      <c r="N16" s="93">
        <f>ROUND(IF(Calcul1!K50&lt;$K$10,0.2*$C$10*$D$10,Calcul1!K50),5)</f>
        <v>0.26</v>
      </c>
      <c r="Q16" s="207"/>
      <c r="R16" s="31"/>
      <c r="S16" s="31"/>
      <c r="T16" s="31"/>
      <c r="U16" s="31"/>
      <c r="V16" s="31"/>
      <c r="W16" s="31"/>
      <c r="X16" s="31"/>
      <c r="Y16" s="31"/>
      <c r="Z16" s="31"/>
      <c r="AA16" s="208"/>
    </row>
    <row r="17" spans="3:27">
      <c r="C17" s="252"/>
      <c r="D17" s="253"/>
      <c r="E17" s="253"/>
      <c r="F17" s="253"/>
      <c r="G17" s="253"/>
      <c r="H17" s="253"/>
      <c r="I17" s="253"/>
      <c r="J17" s="253"/>
      <c r="K17" s="254"/>
      <c r="L17" s="141"/>
      <c r="M17" s="86">
        <v>0.05</v>
      </c>
      <c r="N17" s="93">
        <f>ROUND(IF(Calcul1!K51&lt;$K$10,0.2*$C$10*$D$10,Calcul1!K51),5)</f>
        <v>0.26</v>
      </c>
      <c r="Q17" s="207"/>
      <c r="R17" s="31"/>
      <c r="S17" s="31"/>
      <c r="T17" s="31"/>
      <c r="U17" s="31"/>
      <c r="V17" s="31"/>
      <c r="W17" s="31"/>
      <c r="X17" s="31"/>
      <c r="Y17" s="31"/>
      <c r="Z17" s="31"/>
      <c r="AA17" s="208"/>
    </row>
    <row r="18" spans="3:27">
      <c r="C18" s="252"/>
      <c r="D18" s="253"/>
      <c r="E18" s="253"/>
      <c r="F18" s="253"/>
      <c r="G18" s="253"/>
      <c r="H18" s="253"/>
      <c r="I18" s="253"/>
      <c r="J18" s="253"/>
      <c r="K18" s="254"/>
      <c r="L18" s="141"/>
      <c r="M18" s="86">
        <v>0.06</v>
      </c>
      <c r="N18" s="93">
        <f>ROUND(IF(Calcul1!K52&lt;$K$10,0.2*$C$10*$D$10,Calcul1!K52),5)</f>
        <v>0.26</v>
      </c>
      <c r="Q18" s="207"/>
      <c r="R18" s="31"/>
      <c r="S18" s="31"/>
      <c r="T18" s="31"/>
      <c r="U18" s="31"/>
      <c r="V18" s="31"/>
      <c r="W18" s="31"/>
      <c r="X18" s="31"/>
      <c r="Y18" s="31"/>
      <c r="Z18" s="31"/>
      <c r="AA18" s="208"/>
    </row>
    <row r="19" spans="3:27">
      <c r="C19" s="252"/>
      <c r="D19" s="253"/>
      <c r="E19" s="253"/>
      <c r="F19" s="253"/>
      <c r="G19" s="253"/>
      <c r="H19" s="253"/>
      <c r="I19" s="253"/>
      <c r="J19" s="253"/>
      <c r="K19" s="254"/>
      <c r="L19" s="141"/>
      <c r="M19" s="86">
        <v>7.0000000000000007E-2</v>
      </c>
      <c r="N19" s="93">
        <f>ROUND(IF(Calcul1!K53&lt;$K$10,0.2*$C$10*$D$10,Calcul1!K53),5)</f>
        <v>0.26</v>
      </c>
      <c r="Q19" s="207"/>
      <c r="R19" s="31"/>
      <c r="S19" s="31"/>
      <c r="T19" s="31"/>
      <c r="U19" s="31"/>
      <c r="V19" s="31"/>
      <c r="W19" s="31"/>
      <c r="X19" s="31"/>
      <c r="Y19" s="31"/>
      <c r="Z19" s="31"/>
      <c r="AA19" s="208"/>
    </row>
    <row r="20" spans="3:27">
      <c r="C20" s="252"/>
      <c r="D20" s="253"/>
      <c r="E20" s="253"/>
      <c r="F20" s="253"/>
      <c r="G20" s="253"/>
      <c r="H20" s="253"/>
      <c r="I20" s="253"/>
      <c r="J20" s="253"/>
      <c r="K20" s="254"/>
      <c r="L20" s="141"/>
      <c r="M20" s="86">
        <v>0.08</v>
      </c>
      <c r="N20" s="93">
        <f>ROUND(IF(Calcul1!K54&lt;$K$10,0.2*$C$10*$D$10,Calcul1!K54),5)</f>
        <v>0.26</v>
      </c>
      <c r="Q20" s="207"/>
      <c r="R20" s="31"/>
      <c r="S20" s="31"/>
      <c r="T20" s="31"/>
      <c r="U20" s="31"/>
      <c r="V20" s="31"/>
      <c r="W20" s="31"/>
      <c r="X20" s="31"/>
      <c r="Y20" s="31"/>
      <c r="Z20" s="31"/>
      <c r="AA20" s="208"/>
    </row>
    <row r="21" spans="3:27">
      <c r="C21" s="252"/>
      <c r="D21" s="253"/>
      <c r="E21" s="253"/>
      <c r="F21" s="253"/>
      <c r="G21" s="253"/>
      <c r="H21" s="253"/>
      <c r="I21" s="253"/>
      <c r="J21" s="253"/>
      <c r="K21" s="254"/>
      <c r="L21" s="141"/>
      <c r="M21" s="86">
        <v>0.09</v>
      </c>
      <c r="N21" s="93">
        <f>ROUND(IF(Calcul1!K55&lt;$K$10,0.2*$C$10*$D$10,Calcul1!K55),5)</f>
        <v>0.26</v>
      </c>
      <c r="Q21" s="207"/>
      <c r="R21" s="31"/>
      <c r="S21" s="31"/>
      <c r="T21" s="31"/>
      <c r="U21" s="31"/>
      <c r="V21" s="31"/>
      <c r="W21" s="31"/>
      <c r="X21" s="31"/>
      <c r="Y21" s="31"/>
      <c r="Z21" s="31"/>
      <c r="AA21" s="208"/>
    </row>
    <row r="22" spans="3:27">
      <c r="C22" s="252"/>
      <c r="D22" s="253"/>
      <c r="E22" s="253"/>
      <c r="F22" s="253"/>
      <c r="G22" s="253"/>
      <c r="H22" s="253"/>
      <c r="I22" s="253"/>
      <c r="J22" s="253"/>
      <c r="K22" s="254"/>
      <c r="L22" s="141"/>
      <c r="M22" s="86">
        <v>0.1</v>
      </c>
      <c r="N22" s="93">
        <f>ROUND(IF(Calcul1!K56&lt;$K$10,0.2*$C$10*$D$10,Calcul1!K56),5)</f>
        <v>0.26</v>
      </c>
      <c r="Q22" s="207"/>
      <c r="R22" s="31"/>
      <c r="S22" s="31"/>
      <c r="T22" s="31"/>
      <c r="U22" s="31"/>
      <c r="V22" s="31"/>
      <c r="W22" s="31"/>
      <c r="X22" s="31"/>
      <c r="Y22" s="31"/>
      <c r="Z22" s="31"/>
      <c r="AA22" s="208"/>
    </row>
    <row r="23" spans="3:27" ht="17.25" thickBot="1">
      <c r="C23" s="252"/>
      <c r="D23" s="253"/>
      <c r="E23" s="253"/>
      <c r="F23" s="253"/>
      <c r="G23" s="253"/>
      <c r="H23" s="253"/>
      <c r="I23" s="253"/>
      <c r="J23" s="253"/>
      <c r="K23" s="254"/>
      <c r="L23" s="141"/>
      <c r="M23" s="86">
        <v>0.11</v>
      </c>
      <c r="N23" s="93">
        <f>ROUND(IF(Calcul1!K57&lt;$K$10,0.2*$C$10*$D$10,Calcul1!K57),5)</f>
        <v>0.26</v>
      </c>
      <c r="Q23" s="209"/>
      <c r="R23" s="210"/>
      <c r="S23" s="210"/>
      <c r="T23" s="210"/>
      <c r="U23" s="210"/>
      <c r="V23" s="210"/>
      <c r="W23" s="210"/>
      <c r="X23" s="210"/>
      <c r="Y23" s="210"/>
      <c r="Z23" s="210"/>
      <c r="AA23" s="211"/>
    </row>
    <row r="24" spans="3:27">
      <c r="C24" s="252"/>
      <c r="D24" s="253"/>
      <c r="E24" s="253"/>
      <c r="F24" s="253"/>
      <c r="G24" s="253"/>
      <c r="H24" s="253"/>
      <c r="I24" s="253"/>
      <c r="J24" s="253"/>
      <c r="K24" s="254"/>
      <c r="L24" s="141"/>
      <c r="M24" s="86">
        <v>0.12</v>
      </c>
      <c r="N24" s="93">
        <f>ROUND(IF(Calcul1!K58&lt;$K$10,0.2*$C$10*$D$10,Calcul1!K58),5)</f>
        <v>0.26</v>
      </c>
    </row>
    <row r="25" spans="3:27">
      <c r="C25" s="252"/>
      <c r="D25" s="253"/>
      <c r="E25" s="253"/>
      <c r="F25" s="253"/>
      <c r="G25" s="253"/>
      <c r="H25" s="253"/>
      <c r="I25" s="253"/>
      <c r="J25" s="253"/>
      <c r="K25" s="254"/>
      <c r="L25" s="141"/>
      <c r="M25" s="86">
        <v>0.13</v>
      </c>
      <c r="N25" s="93">
        <f>ROUND(IF(Calcul1!K59&lt;$K$10,0.2*$C$10*$D$10,Calcul1!K59),5)</f>
        <v>0.26</v>
      </c>
    </row>
    <row r="26" spans="3:27">
      <c r="C26" s="252"/>
      <c r="D26" s="253"/>
      <c r="E26" s="253"/>
      <c r="F26" s="253"/>
      <c r="G26" s="253"/>
      <c r="H26" s="253"/>
      <c r="I26" s="253"/>
      <c r="J26" s="253"/>
      <c r="K26" s="254"/>
      <c r="L26" s="141"/>
      <c r="M26" s="86">
        <v>0.14000000000000001</v>
      </c>
      <c r="N26" s="93">
        <f>ROUND(IF(Calcul1!K60&lt;$K$10,0.2*$C$10*$D$10,Calcul1!K60),5)</f>
        <v>0.26</v>
      </c>
    </row>
    <row r="27" spans="3:27">
      <c r="C27" s="252"/>
      <c r="D27" s="253"/>
      <c r="E27" s="253"/>
      <c r="F27" s="253"/>
      <c r="G27" s="253"/>
      <c r="H27" s="253"/>
      <c r="I27" s="253"/>
      <c r="J27" s="253"/>
      <c r="K27" s="254"/>
      <c r="L27" s="141"/>
      <c r="M27" s="86">
        <v>0.15</v>
      </c>
      <c r="N27" s="93">
        <f>ROUND(IF(Calcul1!K61&lt;$K$10,0.2*$C$10*$D$10,Calcul1!K61),5)</f>
        <v>0.26</v>
      </c>
    </row>
    <row r="28" spans="3:27">
      <c r="C28" s="252"/>
      <c r="D28" s="253"/>
      <c r="E28" s="253"/>
      <c r="F28" s="253"/>
      <c r="G28" s="253"/>
      <c r="H28" s="253"/>
      <c r="I28" s="253"/>
      <c r="J28" s="253"/>
      <c r="K28" s="254"/>
      <c r="L28" s="141"/>
      <c r="M28" s="86">
        <v>0.16</v>
      </c>
      <c r="N28" s="93">
        <f>ROUND(IF(Calcul1!K62&lt;$K$10,0.2*$C$10*$D$10,Calcul1!K62),5)</f>
        <v>0.26</v>
      </c>
    </row>
    <row r="29" spans="3:27" ht="17.25" thickBot="1">
      <c r="C29" s="255"/>
      <c r="D29" s="256"/>
      <c r="E29" s="256"/>
      <c r="F29" s="256"/>
      <c r="G29" s="256"/>
      <c r="H29" s="256"/>
      <c r="I29" s="256"/>
      <c r="J29" s="256"/>
      <c r="K29" s="257"/>
      <c r="L29" s="141"/>
      <c r="M29" s="86">
        <v>0.17</v>
      </c>
      <c r="N29" s="93">
        <f>ROUND(IF(Calcul1!K63&lt;$K$10,0.2*$C$10*$D$10,Calcul1!K63),5)</f>
        <v>0.26</v>
      </c>
    </row>
    <row r="30" spans="3:27"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86">
        <v>0.18</v>
      </c>
      <c r="N30" s="93">
        <f>ROUND(IF(Calcul1!K64&lt;$K$10,0.2*$C$10*$D$10,Calcul1!K64),5)</f>
        <v>0.26</v>
      </c>
    </row>
    <row r="31" spans="3:27"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86">
        <v>0.19</v>
      </c>
      <c r="N31" s="93">
        <f>ROUND(IF(Calcul1!K65&lt;$K$10,0.2*$C$10*$D$10,Calcul1!K65),5)</f>
        <v>0.26</v>
      </c>
    </row>
    <row r="32" spans="3:27">
      <c r="M32" s="86">
        <v>0.2</v>
      </c>
      <c r="N32" s="93">
        <f>ROUND(IF(Calcul1!K66&lt;$K$10,0.2*$C$10*$D$10,Calcul1!K66),5)</f>
        <v>0.26</v>
      </c>
    </row>
    <row r="33" spans="13:14">
      <c r="M33" s="86">
        <v>0.21</v>
      </c>
      <c r="N33" s="93">
        <f>ROUND(IF(Calcul1!K67&lt;$K$10,0.2*$C$10*$D$10,Calcul1!K67),5)</f>
        <v>0.26</v>
      </c>
    </row>
    <row r="34" spans="13:14">
      <c r="M34" s="86">
        <v>0.22</v>
      </c>
      <c r="N34" s="93">
        <f>ROUND(IF(Calcul1!K68&lt;$K$10,0.2*$C$10*$D$10,Calcul1!K68),5)</f>
        <v>0.26</v>
      </c>
    </row>
    <row r="35" spans="13:14">
      <c r="M35" s="86">
        <v>0.23</v>
      </c>
      <c r="N35" s="93">
        <f>ROUND(IF(Calcul1!K69&lt;$K$10,0.2*$C$10*$D$10,Calcul1!K69),5)</f>
        <v>0.26</v>
      </c>
    </row>
    <row r="36" spans="13:14">
      <c r="M36" s="86">
        <v>0.24</v>
      </c>
      <c r="N36" s="93">
        <f>ROUND(IF(Calcul1!K70&lt;$K$10,0.2*$C$10*$D$10,Calcul1!K70),5)</f>
        <v>0.26</v>
      </c>
    </row>
    <row r="37" spans="13:14">
      <c r="M37" s="86">
        <v>0.25</v>
      </c>
      <c r="N37" s="93">
        <f>ROUND(IF(Calcul1!K71&lt;$K$10,0.2*$C$10*$D$10,Calcul1!K71),5)</f>
        <v>0.26</v>
      </c>
    </row>
    <row r="38" spans="13:14">
      <c r="M38" s="86">
        <v>0.26</v>
      </c>
      <c r="N38" s="93">
        <f>ROUND(IF(Calcul1!K72&lt;$K$10,0.2*$C$10*$D$10,Calcul1!K72),5)</f>
        <v>0.26</v>
      </c>
    </row>
    <row r="39" spans="13:14">
      <c r="M39" s="86">
        <v>0.27</v>
      </c>
      <c r="N39" s="93">
        <f>ROUND(IF(Calcul1!K73&lt;$K$10,0.2*$C$10*$D$10,Calcul1!K73),5)</f>
        <v>0.26</v>
      </c>
    </row>
    <row r="40" spans="13:14">
      <c r="M40" s="86">
        <v>0.28000000000000003</v>
      </c>
      <c r="N40" s="93">
        <f>ROUND(IF(Calcul1!K74&lt;$K$10,0.2*$C$10*$D$10,Calcul1!K74),5)</f>
        <v>0.26</v>
      </c>
    </row>
    <row r="41" spans="13:14">
      <c r="M41" s="86">
        <v>0.28999999999999998</v>
      </c>
      <c r="N41" s="93">
        <f>ROUND(IF(Calcul1!K75&lt;$K$10,0.2*$C$10*$D$10,Calcul1!K75),5)</f>
        <v>0.26</v>
      </c>
    </row>
    <row r="42" spans="13:14">
      <c r="M42" s="86">
        <v>0.3</v>
      </c>
      <c r="N42" s="93">
        <f>ROUND(IF(Calcul1!K76&lt;$K$10,0.2*$C$10*$D$10,Calcul1!K76),5)</f>
        <v>0.26</v>
      </c>
    </row>
    <row r="43" spans="13:14">
      <c r="M43" s="86">
        <v>0.31</v>
      </c>
      <c r="N43" s="93">
        <f>ROUND(IF(Calcul1!K77&lt;$K$10,0.2*$C$10*$D$10,Calcul1!K77),5)</f>
        <v>0.26</v>
      </c>
    </row>
    <row r="44" spans="13:14">
      <c r="M44" s="86">
        <v>0.32</v>
      </c>
      <c r="N44" s="93">
        <f>ROUND(IF(Calcul1!K78&lt;$K$10,0.2*$C$10*$D$10,Calcul1!K78),5)</f>
        <v>0.26</v>
      </c>
    </row>
    <row r="45" spans="13:14">
      <c r="M45" s="86">
        <v>0.33</v>
      </c>
      <c r="N45" s="93">
        <f>ROUND(IF(Calcul1!K79&lt;$K$10,0.2*$C$10*$D$10,Calcul1!K79),5)</f>
        <v>0.26</v>
      </c>
    </row>
    <row r="46" spans="13:14">
      <c r="M46" s="86">
        <v>0.34</v>
      </c>
      <c r="N46" s="93">
        <f>ROUND(IF(Calcul1!K80&lt;$K$10,0.2*$C$10*$D$10,Calcul1!K80),5)</f>
        <v>0.26</v>
      </c>
    </row>
    <row r="47" spans="13:14">
      <c r="M47" s="86">
        <v>0.35</v>
      </c>
      <c r="N47" s="93">
        <f>ROUND(IF(Calcul1!K81&lt;$K$10,0.2*$C$10*$D$10,Calcul1!K81),5)</f>
        <v>0.26</v>
      </c>
    </row>
    <row r="48" spans="13:14">
      <c r="M48" s="86">
        <v>0.36</v>
      </c>
      <c r="N48" s="93">
        <f>ROUND(IF(Calcul1!K82&lt;$K$10,0.2*$C$10*$D$10,Calcul1!K82),5)</f>
        <v>0.26</v>
      </c>
    </row>
    <row r="49" spans="13:14">
      <c r="M49" s="86">
        <v>0.37</v>
      </c>
      <c r="N49" s="93">
        <f>ROUND(IF(Calcul1!K83&lt;$K$10,0.2*$C$10*$D$10,Calcul1!K83),5)</f>
        <v>0.26</v>
      </c>
    </row>
    <row r="50" spans="13:14">
      <c r="M50" s="86">
        <v>0.38</v>
      </c>
      <c r="N50" s="93">
        <f>ROUND(IF(Calcul1!K84&lt;$K$10,0.2*$C$10*$D$10,Calcul1!K84),5)</f>
        <v>0.26</v>
      </c>
    </row>
    <row r="51" spans="13:14">
      <c r="M51" s="86">
        <v>0.39</v>
      </c>
      <c r="N51" s="93">
        <f>ROUND(IF(Calcul1!K85&lt;$K$10,0.2*$C$10*$D$10,Calcul1!K85),5)</f>
        <v>0.26</v>
      </c>
    </row>
    <row r="52" spans="13:14">
      <c r="M52" s="86">
        <v>0.4</v>
      </c>
      <c r="N52" s="93">
        <f>ROUND(IF(Calcul1!K86&lt;$K$10,0.2*$C$10*$D$10,Calcul1!K86),5)</f>
        <v>0.26</v>
      </c>
    </row>
    <row r="53" spans="13:14">
      <c r="M53" s="86">
        <v>0.41</v>
      </c>
      <c r="N53" s="93">
        <f>ROUND(IF(Calcul1!K87&lt;$K$10,0.2*$C$10*$D$10,Calcul1!K87),5)</f>
        <v>0.26</v>
      </c>
    </row>
    <row r="54" spans="13:14">
      <c r="M54" s="86">
        <v>0.42</v>
      </c>
      <c r="N54" s="93">
        <f>ROUND(IF(Calcul1!K88&lt;$K$10,0.2*$C$10*$D$10,Calcul1!K88),5)</f>
        <v>0.26</v>
      </c>
    </row>
    <row r="55" spans="13:14">
      <c r="M55" s="86">
        <v>0.43</v>
      </c>
      <c r="N55" s="93">
        <f>ROUND(IF(Calcul1!K89&lt;$K$10,0.2*$C$10*$D$10,Calcul1!K89),5)</f>
        <v>0.26</v>
      </c>
    </row>
    <row r="56" spans="13:14">
      <c r="M56" s="86">
        <v>0.44</v>
      </c>
      <c r="N56" s="93">
        <f>ROUND(IF(Calcul1!K90&lt;$K$10,0.2*$C$10*$D$10,Calcul1!K90),5)</f>
        <v>0.26</v>
      </c>
    </row>
    <row r="57" spans="13:14">
      <c r="M57" s="86">
        <v>0.45</v>
      </c>
      <c r="N57" s="93">
        <f>ROUND(IF(Calcul1!K91&lt;$K$10,0.2*$C$10*$D$10,Calcul1!K91),5)</f>
        <v>0.26</v>
      </c>
    </row>
    <row r="58" spans="13:14">
      <c r="M58" s="86">
        <v>0.46</v>
      </c>
      <c r="N58" s="93">
        <f>ROUND(IF(Calcul1!K92&lt;$K$10,0.2*$C$10*$D$10,Calcul1!K92),5)</f>
        <v>0.26</v>
      </c>
    </row>
    <row r="59" spans="13:14">
      <c r="M59" s="86">
        <v>0.47</v>
      </c>
      <c r="N59" s="93">
        <f>ROUND(IF(Calcul1!K93&lt;$K$10,0.2*$C$10*$D$10,Calcul1!K93),5)</f>
        <v>0.26</v>
      </c>
    </row>
    <row r="60" spans="13:14" ht="15" customHeight="1">
      <c r="M60" s="86">
        <v>0.48</v>
      </c>
      <c r="N60" s="93">
        <f>ROUND(IF(Calcul1!K94&lt;$K$10,0.2*$C$10*$D$10,Calcul1!K94),5)</f>
        <v>0.26</v>
      </c>
    </row>
    <row r="61" spans="13:14" ht="15.75" customHeight="1">
      <c r="M61" s="86">
        <v>0.49</v>
      </c>
      <c r="N61" s="93">
        <f>ROUND(IF(Calcul1!K95&lt;$K$10,0.2*$C$10*$D$10,Calcul1!K95),5)</f>
        <v>0.26</v>
      </c>
    </row>
    <row r="62" spans="13:14">
      <c r="M62" s="86">
        <v>0.5</v>
      </c>
      <c r="N62" s="93">
        <f>ROUND(IF(Calcul1!K96&lt;$K$10,0.2*$C$10*$D$10,Calcul1!K96),5)</f>
        <v>0.26</v>
      </c>
    </row>
    <row r="63" spans="13:14">
      <c r="M63" s="86">
        <v>0.51</v>
      </c>
      <c r="N63" s="93">
        <f>ROUND(IF(Calcul1!K97&lt;$K$10,0.2*$C$10*$D$10,Calcul1!K97),5)</f>
        <v>0.26</v>
      </c>
    </row>
    <row r="64" spans="13:14">
      <c r="M64" s="86">
        <v>0.52</v>
      </c>
      <c r="N64" s="93">
        <f>ROUND(IF(Calcul1!K98&lt;$K$10,0.2*$C$10*$D$10,Calcul1!K98),5)</f>
        <v>0.26</v>
      </c>
    </row>
    <row r="65" spans="13:14">
      <c r="M65" s="86">
        <v>0.53</v>
      </c>
      <c r="N65" s="93">
        <f>ROUND(IF(Calcul1!K99&lt;$K$10,0.2*$C$10*$D$10,Calcul1!K99),5)</f>
        <v>0.26</v>
      </c>
    </row>
    <row r="66" spans="13:14">
      <c r="M66" s="86">
        <v>0.54</v>
      </c>
      <c r="N66" s="93">
        <f>ROUND(IF(Calcul1!K100&lt;$K$10,0.2*$C$10*$D$10,Calcul1!K100),5)</f>
        <v>0.26</v>
      </c>
    </row>
    <row r="67" spans="13:14">
      <c r="M67" s="86">
        <v>0.55000000000000004</v>
      </c>
      <c r="N67" s="93">
        <f>ROUND(IF(Calcul1!K101&lt;$K$10,0.2*$C$10*$D$10,Calcul1!K101),5)</f>
        <v>0.26</v>
      </c>
    </row>
    <row r="68" spans="13:14">
      <c r="M68" s="86">
        <v>0.56000000000000005</v>
      </c>
      <c r="N68" s="93">
        <f>ROUND(IF(Calcul1!K102&lt;$K$10,0.2*$C$10*$D$10,Calcul1!K102),5)</f>
        <v>0.26</v>
      </c>
    </row>
    <row r="69" spans="13:14">
      <c r="M69" s="86">
        <v>0.56999999999999995</v>
      </c>
      <c r="N69" s="93">
        <f>ROUND(IF(Calcul1!K103&lt;$K$10,0.2*$C$10*$D$10,Calcul1!K103),5)</f>
        <v>0.26</v>
      </c>
    </row>
    <row r="70" spans="13:14">
      <c r="M70" s="86">
        <v>0.57999999999999996</v>
      </c>
      <c r="N70" s="93">
        <f>ROUND(IF(Calcul1!K104&lt;$K$10,0.2*$C$10*$D$10,Calcul1!K104),5)</f>
        <v>0.26</v>
      </c>
    </row>
    <row r="71" spans="13:14">
      <c r="M71" s="86">
        <v>0.59</v>
      </c>
      <c r="N71" s="93">
        <f>ROUND(IF(Calcul1!K105&lt;$K$10,0.2*$C$10*$D$10,Calcul1!K105),5)</f>
        <v>0.26</v>
      </c>
    </row>
    <row r="72" spans="13:14">
      <c r="M72" s="86">
        <v>0.6</v>
      </c>
      <c r="N72" s="93">
        <f>ROUND(IF(Calcul1!K106&lt;$K$10,0.2*$C$10*$D$10,Calcul1!K106),5)</f>
        <v>0.26</v>
      </c>
    </row>
    <row r="73" spans="13:14">
      <c r="M73" s="86">
        <v>0.61</v>
      </c>
      <c r="N73" s="93">
        <f>ROUND(IF(Calcul1!K107&lt;$K$10,0.2*$C$10*$D$10,Calcul1!K107),5)</f>
        <v>0.25574000000000002</v>
      </c>
    </row>
    <row r="74" spans="13:14">
      <c r="M74" s="86">
        <v>0.62</v>
      </c>
      <c r="N74" s="93">
        <f>ROUND(IF(Calcul1!K108&lt;$K$10,0.2*$C$10*$D$10,Calcul1!K108),5)</f>
        <v>0.25161</v>
      </c>
    </row>
    <row r="75" spans="13:14">
      <c r="M75" s="86">
        <v>0.63</v>
      </c>
      <c r="N75" s="93">
        <f>ROUND(IF(Calcul1!K109&lt;$K$10,0.2*$C$10*$D$10,Calcul1!K109),5)</f>
        <v>0.24762000000000001</v>
      </c>
    </row>
    <row r="76" spans="13:14">
      <c r="M76" s="86">
        <v>0.64</v>
      </c>
      <c r="N76" s="93">
        <f>ROUND(IF(Calcul1!K110&lt;$K$10,0.2*$C$10*$D$10,Calcul1!K110),5)</f>
        <v>0.24374999999999999</v>
      </c>
    </row>
    <row r="77" spans="13:14">
      <c r="M77" s="86">
        <v>0.65</v>
      </c>
      <c r="N77" s="93">
        <f>ROUND(IF(Calcul1!K111&lt;$K$10,0.2*$C$10*$D$10,Calcul1!K111),5)</f>
        <v>0.24</v>
      </c>
    </row>
    <row r="78" spans="13:14">
      <c r="M78" s="86">
        <v>0.66</v>
      </c>
      <c r="N78" s="93">
        <f>ROUND(IF(Calcul1!K112&lt;$K$10,0.2*$C$10*$D$10,Calcul1!K112),5)</f>
        <v>0.23635999999999999</v>
      </c>
    </row>
    <row r="79" spans="13:14">
      <c r="M79" s="86">
        <v>0.67</v>
      </c>
      <c r="N79" s="93">
        <f>ROUND(IF(Calcul1!K113&lt;$K$10,0.2*$C$10*$D$10,Calcul1!K113),5)</f>
        <v>0.23283999999999999</v>
      </c>
    </row>
    <row r="80" spans="13:14">
      <c r="M80" s="86">
        <v>0.68</v>
      </c>
      <c r="N80" s="93">
        <f>ROUND(IF(Calcul1!K114&lt;$K$10,0.2*$C$10*$D$10,Calcul1!K114),5)</f>
        <v>0.22941</v>
      </c>
    </row>
    <row r="81" spans="13:14">
      <c r="M81" s="86">
        <v>0.69</v>
      </c>
      <c r="N81" s="93">
        <f>ROUND(IF(Calcul1!K115&lt;$K$10,0.2*$C$10*$D$10,Calcul1!K115),5)</f>
        <v>0.22609000000000001</v>
      </c>
    </row>
    <row r="82" spans="13:14">
      <c r="M82" s="86">
        <v>0.7</v>
      </c>
      <c r="N82" s="93">
        <f>ROUND(IF(Calcul1!K116&lt;$K$10,0.2*$C$10*$D$10,Calcul1!K116),5)</f>
        <v>0.22286</v>
      </c>
    </row>
    <row r="83" spans="13:14">
      <c r="M83" s="86">
        <v>0.71</v>
      </c>
      <c r="N83" s="93">
        <f>ROUND(IF(Calcul1!K117&lt;$K$10,0.2*$C$10*$D$10,Calcul1!K117),5)</f>
        <v>0.21972</v>
      </c>
    </row>
    <row r="84" spans="13:14">
      <c r="M84" s="86">
        <v>0.72</v>
      </c>
      <c r="N84" s="93">
        <f>ROUND(IF(Calcul1!K118&lt;$K$10,0.2*$C$10*$D$10,Calcul1!K118),5)</f>
        <v>0.21667</v>
      </c>
    </row>
    <row r="85" spans="13:14">
      <c r="M85" s="86">
        <v>0.73</v>
      </c>
      <c r="N85" s="93">
        <f>ROUND(IF(Calcul1!K119&lt;$K$10,0.2*$C$10*$D$10,Calcul1!K119),5)</f>
        <v>0.2137</v>
      </c>
    </row>
    <row r="86" spans="13:14">
      <c r="M86" s="86">
        <v>0.74</v>
      </c>
      <c r="N86" s="93">
        <f>ROUND(IF(Calcul1!K120&lt;$K$10,0.2*$C$10*$D$10,Calcul1!K120),5)</f>
        <v>0.21081</v>
      </c>
    </row>
    <row r="87" spans="13:14">
      <c r="M87" s="86">
        <v>0.75</v>
      </c>
      <c r="N87" s="93">
        <f>ROUND(IF(Calcul1!K121&lt;$K$10,0.2*$C$10*$D$10,Calcul1!K121),5)</f>
        <v>0.20799999999999999</v>
      </c>
    </row>
    <row r="88" spans="13:14">
      <c r="M88" s="86">
        <v>0.76</v>
      </c>
      <c r="N88" s="93">
        <f>ROUND(IF(Calcul1!K122&lt;$K$10,0.2*$C$10*$D$10,Calcul1!K122),5)</f>
        <v>0.20526</v>
      </c>
    </row>
    <row r="89" spans="13:14">
      <c r="M89" s="86">
        <v>0.77</v>
      </c>
      <c r="N89" s="93">
        <f>ROUND(IF(Calcul1!K123&lt;$K$10,0.2*$C$10*$D$10,Calcul1!K123),5)</f>
        <v>0.2026</v>
      </c>
    </row>
    <row r="90" spans="13:14">
      <c r="M90" s="86">
        <v>0.78</v>
      </c>
      <c r="N90" s="93">
        <f>ROUND(IF(Calcul1!K124&lt;$K$10,0.2*$C$10*$D$10,Calcul1!K124),5)</f>
        <v>0.2</v>
      </c>
    </row>
    <row r="91" spans="13:14">
      <c r="M91" s="86">
        <v>0.79</v>
      </c>
      <c r="N91" s="93">
        <f>ROUND(IF(Calcul1!K125&lt;$K$10,0.2*$C$10*$D$10,Calcul1!K125),5)</f>
        <v>0.19747000000000001</v>
      </c>
    </row>
    <row r="92" spans="13:14">
      <c r="M92" s="86">
        <v>0.8</v>
      </c>
      <c r="N92" s="93">
        <f>ROUND(IF(Calcul1!K126&lt;$K$10,0.2*$C$10*$D$10,Calcul1!K126),5)</f>
        <v>0.19500000000000001</v>
      </c>
    </row>
    <row r="93" spans="13:14">
      <c r="M93" s="86">
        <v>0.81</v>
      </c>
      <c r="N93" s="93">
        <f>ROUND(IF(Calcul1!K127&lt;$K$10,0.2*$C$10*$D$10,Calcul1!K127),5)</f>
        <v>0.19259000000000001</v>
      </c>
    </row>
    <row r="94" spans="13:14">
      <c r="M94" s="86">
        <v>0.82</v>
      </c>
      <c r="N94" s="93">
        <f>ROUND(IF(Calcul1!K128&lt;$K$10,0.2*$C$10*$D$10,Calcul1!K128),5)</f>
        <v>0.19023999999999999</v>
      </c>
    </row>
    <row r="95" spans="13:14">
      <c r="M95" s="86">
        <v>0.83</v>
      </c>
      <c r="N95" s="93">
        <f>ROUND(IF(Calcul1!K129&lt;$K$10,0.2*$C$10*$D$10,Calcul1!K129),5)</f>
        <v>0.18795000000000001</v>
      </c>
    </row>
    <row r="96" spans="13:14">
      <c r="M96" s="86">
        <v>0.84</v>
      </c>
      <c r="N96" s="93">
        <f>ROUND(IF(Calcul1!K130&lt;$K$10,0.2*$C$10*$D$10,Calcul1!K130),5)</f>
        <v>0.18570999999999999</v>
      </c>
    </row>
    <row r="97" spans="13:14">
      <c r="M97" s="86">
        <v>0.85</v>
      </c>
      <c r="N97" s="93">
        <f>ROUND(IF(Calcul1!K131&lt;$K$10,0.2*$C$10*$D$10,Calcul1!K131),5)</f>
        <v>0.18353</v>
      </c>
    </row>
    <row r="98" spans="13:14">
      <c r="M98" s="86">
        <v>0.86</v>
      </c>
      <c r="N98" s="93">
        <f>ROUND(IF(Calcul1!K132&lt;$K$10,0.2*$C$10*$D$10,Calcul1!K132),5)</f>
        <v>0.18140000000000001</v>
      </c>
    </row>
    <row r="99" spans="13:14">
      <c r="M99" s="86">
        <v>0.87</v>
      </c>
      <c r="N99" s="93">
        <f>ROUND(IF(Calcul1!K133&lt;$K$10,0.2*$C$10*$D$10,Calcul1!K133),5)</f>
        <v>0.17931</v>
      </c>
    </row>
    <row r="100" spans="13:14">
      <c r="M100" s="86">
        <v>0.88</v>
      </c>
      <c r="N100" s="93">
        <f>ROUND(IF(Calcul1!K134&lt;$K$10,0.2*$C$10*$D$10,Calcul1!K134),5)</f>
        <v>0.17727000000000001</v>
      </c>
    </row>
    <row r="101" spans="13:14">
      <c r="M101" s="86">
        <v>0.89</v>
      </c>
      <c r="N101" s="93">
        <f>ROUND(IF(Calcul1!K135&lt;$K$10,0.2*$C$10*$D$10,Calcul1!K135),5)</f>
        <v>0.17527999999999999</v>
      </c>
    </row>
    <row r="102" spans="13:14">
      <c r="M102" s="86">
        <v>0.9</v>
      </c>
      <c r="N102" s="93">
        <f>ROUND(IF(Calcul1!K136&lt;$K$10,0.2*$C$10*$D$10,Calcul1!K136),5)</f>
        <v>0.17333000000000001</v>
      </c>
    </row>
    <row r="103" spans="13:14">
      <c r="M103" s="86">
        <v>0.91</v>
      </c>
      <c r="N103" s="93">
        <f>ROUND(IF(Calcul1!K137&lt;$K$10,0.2*$C$10*$D$10,Calcul1!K137),5)</f>
        <v>0.17143</v>
      </c>
    </row>
    <row r="104" spans="13:14">
      <c r="M104" s="86">
        <v>0.92</v>
      </c>
      <c r="N104" s="93">
        <f>ROUND(IF(Calcul1!K138&lt;$K$10,0.2*$C$10*$D$10,Calcul1!K138),5)</f>
        <v>0.16957</v>
      </c>
    </row>
    <row r="105" spans="13:14">
      <c r="M105" s="86">
        <v>0.93</v>
      </c>
      <c r="N105" s="93">
        <f>ROUND(IF(Calcul1!K139&lt;$K$10,0.2*$C$10*$D$10,Calcul1!K139),5)</f>
        <v>0.16774</v>
      </c>
    </row>
    <row r="106" spans="13:14">
      <c r="M106" s="86">
        <v>0.94</v>
      </c>
      <c r="N106" s="93">
        <f>ROUND(IF(Calcul1!K140&lt;$K$10,0.2*$C$10*$D$10,Calcul1!K140),5)</f>
        <v>0.16596</v>
      </c>
    </row>
    <row r="107" spans="13:14">
      <c r="M107" s="86">
        <v>0.95</v>
      </c>
      <c r="N107" s="93">
        <f>ROUND(IF(Calcul1!K141&lt;$K$10,0.2*$C$10*$D$10,Calcul1!K141),5)</f>
        <v>0.16420999999999999</v>
      </c>
    </row>
    <row r="108" spans="13:14">
      <c r="M108" s="86">
        <v>0.96</v>
      </c>
      <c r="N108" s="93">
        <f>ROUND(IF(Calcul1!K142&lt;$K$10,0.2*$C$10*$D$10,Calcul1!K142),5)</f>
        <v>0.16250000000000001</v>
      </c>
    </row>
    <row r="109" spans="13:14">
      <c r="M109" s="86">
        <v>0.97</v>
      </c>
      <c r="N109" s="93">
        <f>ROUND(IF(Calcul1!K143&lt;$K$10,0.2*$C$10*$D$10,Calcul1!K143),5)</f>
        <v>0.16081999999999999</v>
      </c>
    </row>
    <row r="110" spans="13:14">
      <c r="M110" s="86">
        <v>0.98</v>
      </c>
      <c r="N110" s="93">
        <f>ROUND(IF(Calcul1!K144&lt;$K$10,0.2*$C$10*$D$10,Calcul1!K144),5)</f>
        <v>0.15917999999999999</v>
      </c>
    </row>
    <row r="111" spans="13:14">
      <c r="M111" s="86">
        <v>0.99</v>
      </c>
      <c r="N111" s="93">
        <f>ROUND(IF(Calcul1!K145&lt;$K$10,0.2*$C$10*$D$10,Calcul1!K145),5)</f>
        <v>0.15758</v>
      </c>
    </row>
    <row r="112" spans="13:14">
      <c r="M112" s="86">
        <v>1</v>
      </c>
      <c r="N112" s="93">
        <f>ROUND(IF(Calcul1!K146&lt;$K$10,0.2*$C$10*$D$10,Calcul1!K146),5)</f>
        <v>0.156</v>
      </c>
    </row>
    <row r="113" spans="13:14">
      <c r="M113" s="86">
        <v>1.01</v>
      </c>
      <c r="N113" s="93">
        <f>ROUND(IF(Calcul1!K147&lt;$K$10,0.2*$C$10*$D$10,Calcul1!K147),5)</f>
        <v>0.15445999999999999</v>
      </c>
    </row>
    <row r="114" spans="13:14">
      <c r="M114" s="86">
        <v>1.02</v>
      </c>
      <c r="N114" s="93">
        <f>ROUND(IF(Calcul1!K148&lt;$K$10,0.2*$C$10*$D$10,Calcul1!K148),5)</f>
        <v>0.15293999999999999</v>
      </c>
    </row>
    <row r="115" spans="13:14">
      <c r="M115" s="86">
        <v>1.03</v>
      </c>
      <c r="N115" s="93">
        <f>ROUND(IF(Calcul1!K149&lt;$K$10,0.2*$C$10*$D$10,Calcul1!K149),5)</f>
        <v>0.15146000000000001</v>
      </c>
    </row>
    <row r="116" spans="13:14">
      <c r="M116" s="86">
        <v>1.04</v>
      </c>
      <c r="N116" s="93">
        <f>ROUND(IF(Calcul1!K150&lt;$K$10,0.2*$C$10*$D$10,Calcul1!K150),5)</f>
        <v>0.15</v>
      </c>
    </row>
    <row r="117" spans="13:14">
      <c r="M117" s="86">
        <v>1.05</v>
      </c>
      <c r="N117" s="93">
        <f>ROUND(IF(Calcul1!K151&lt;$K$10,0.2*$C$10*$D$10,Calcul1!K151),5)</f>
        <v>0.14857000000000001</v>
      </c>
    </row>
    <row r="118" spans="13:14">
      <c r="M118" s="86">
        <v>1.06</v>
      </c>
      <c r="N118" s="93">
        <f>ROUND(IF(Calcul1!K152&lt;$K$10,0.2*$C$10*$D$10,Calcul1!K152),5)</f>
        <v>0.14717</v>
      </c>
    </row>
    <row r="119" spans="13:14">
      <c r="M119" s="86">
        <v>1.07</v>
      </c>
      <c r="N119" s="93">
        <f>ROUND(IF(Calcul1!K153&lt;$K$10,0.2*$C$10*$D$10,Calcul1!K153),5)</f>
        <v>0.14579</v>
      </c>
    </row>
    <row r="120" spans="13:14">
      <c r="M120" s="86">
        <v>1.08</v>
      </c>
      <c r="N120" s="93">
        <f>ROUND(IF(Calcul1!K154&lt;$K$10,0.2*$C$10*$D$10,Calcul1!K154),5)</f>
        <v>0.14444000000000001</v>
      </c>
    </row>
    <row r="121" spans="13:14">
      <c r="M121" s="86">
        <v>1.0900000000000001</v>
      </c>
      <c r="N121" s="93">
        <f>ROUND(IF(Calcul1!K155&lt;$K$10,0.2*$C$10*$D$10,Calcul1!K155),5)</f>
        <v>0.14312</v>
      </c>
    </row>
    <row r="122" spans="13:14">
      <c r="M122" s="86">
        <v>1.1000000000000001</v>
      </c>
      <c r="N122" s="93">
        <f>ROUND(IF(Calcul1!K156&lt;$K$10,0.2*$C$10*$D$10,Calcul1!K156),5)</f>
        <v>0.14182</v>
      </c>
    </row>
    <row r="123" spans="13:14">
      <c r="M123" s="86">
        <v>1.1100000000000001</v>
      </c>
      <c r="N123" s="93">
        <f>ROUND(IF(Calcul1!K157&lt;$K$10,0.2*$C$10*$D$10,Calcul1!K157),5)</f>
        <v>0.14054</v>
      </c>
    </row>
    <row r="124" spans="13:14">
      <c r="M124" s="86">
        <v>1.1200000000000001</v>
      </c>
      <c r="N124" s="93">
        <f>ROUND(IF(Calcul1!K158&lt;$K$10,0.2*$C$10*$D$10,Calcul1!K158),5)</f>
        <v>0.13929</v>
      </c>
    </row>
    <row r="125" spans="13:14">
      <c r="M125" s="86">
        <v>1.1299999999999999</v>
      </c>
      <c r="N125" s="93">
        <f>ROUND(IF(Calcul1!K159&lt;$K$10,0.2*$C$10*$D$10,Calcul1!K159),5)</f>
        <v>0.13805000000000001</v>
      </c>
    </row>
    <row r="126" spans="13:14">
      <c r="M126" s="86">
        <v>1.1399999999999999</v>
      </c>
      <c r="N126" s="93">
        <f>ROUND(IF(Calcul1!K160&lt;$K$10,0.2*$C$10*$D$10,Calcul1!K160),5)</f>
        <v>0.13683999999999999</v>
      </c>
    </row>
    <row r="127" spans="13:14">
      <c r="M127" s="86">
        <v>1.1499999999999999</v>
      </c>
      <c r="N127" s="93">
        <f>ROUND(IF(Calcul1!K161&lt;$K$10,0.2*$C$10*$D$10,Calcul1!K161),5)</f>
        <v>0.13564999999999999</v>
      </c>
    </row>
    <row r="128" spans="13:14">
      <c r="M128" s="86">
        <v>1.1599999999999999</v>
      </c>
      <c r="N128" s="93">
        <f>ROUND(IF(Calcul1!K162&lt;$K$10,0.2*$C$10*$D$10,Calcul1!K162),5)</f>
        <v>0.13447999999999999</v>
      </c>
    </row>
    <row r="129" spans="13:14">
      <c r="M129" s="86">
        <v>1.17</v>
      </c>
      <c r="N129" s="93">
        <f>ROUND(IF(Calcul1!K163&lt;$K$10,0.2*$C$10*$D$10,Calcul1!K163),5)</f>
        <v>0.13333</v>
      </c>
    </row>
    <row r="130" spans="13:14">
      <c r="M130" s="86">
        <v>1.18</v>
      </c>
      <c r="N130" s="93">
        <f>ROUND(IF(Calcul1!K164&lt;$K$10,0.2*$C$10*$D$10,Calcul1!K164),5)</f>
        <v>0.13220000000000001</v>
      </c>
    </row>
    <row r="131" spans="13:14">
      <c r="M131" s="86">
        <v>1.19</v>
      </c>
      <c r="N131" s="93">
        <f>ROUND(IF(Calcul1!K165&lt;$K$10,0.2*$C$10*$D$10,Calcul1!K165),5)</f>
        <v>0.13109000000000001</v>
      </c>
    </row>
    <row r="132" spans="13:14">
      <c r="M132" s="86">
        <v>1.2</v>
      </c>
      <c r="N132" s="93">
        <f>ROUND(IF(Calcul1!K166&lt;$K$10,0.2*$C$10*$D$10,Calcul1!K166),5)</f>
        <v>0.13</v>
      </c>
    </row>
    <row r="133" spans="13:14">
      <c r="M133" s="86">
        <v>1.21</v>
      </c>
      <c r="N133" s="93">
        <f>ROUND(IF(Calcul1!K167&lt;$K$10,0.2*$C$10*$D$10,Calcul1!K167),5)</f>
        <v>0.12892999999999999</v>
      </c>
    </row>
    <row r="134" spans="13:14">
      <c r="M134" s="86">
        <v>1.22</v>
      </c>
      <c r="N134" s="93">
        <f>ROUND(IF(Calcul1!K168&lt;$K$10,0.2*$C$10*$D$10,Calcul1!K168),5)</f>
        <v>0.12787000000000001</v>
      </c>
    </row>
    <row r="135" spans="13:14">
      <c r="M135" s="86">
        <v>1.23</v>
      </c>
      <c r="N135" s="93">
        <f>ROUND(IF(Calcul1!K169&lt;$K$10,0.2*$C$10*$D$10,Calcul1!K169),5)</f>
        <v>0.12683</v>
      </c>
    </row>
    <row r="136" spans="13:14">
      <c r="M136" s="86">
        <v>1.24</v>
      </c>
      <c r="N136" s="93">
        <f>ROUND(IF(Calcul1!K170&lt;$K$10,0.2*$C$10*$D$10,Calcul1!K170),5)</f>
        <v>0.12581000000000001</v>
      </c>
    </row>
    <row r="137" spans="13:14">
      <c r="M137" s="86">
        <v>1.25</v>
      </c>
      <c r="N137" s="93">
        <f>ROUND(IF(Calcul1!K171&lt;$K$10,0.2*$C$10*$D$10,Calcul1!K171),5)</f>
        <v>0.12479999999999999</v>
      </c>
    </row>
    <row r="138" spans="13:14">
      <c r="M138" s="86">
        <v>1.26</v>
      </c>
      <c r="N138" s="93">
        <f>ROUND(IF(Calcul1!K172&lt;$K$10,0.2*$C$10*$D$10,Calcul1!K172),5)</f>
        <v>0.12381</v>
      </c>
    </row>
    <row r="139" spans="13:14">
      <c r="M139" s="86">
        <v>1.27</v>
      </c>
      <c r="N139" s="93">
        <f>ROUND(IF(Calcul1!K173&lt;$K$10,0.2*$C$10*$D$10,Calcul1!K173),5)</f>
        <v>0.12282999999999999</v>
      </c>
    </row>
    <row r="140" spans="13:14">
      <c r="M140" s="86">
        <v>1.28</v>
      </c>
      <c r="N140" s="93">
        <f>ROUND(IF(Calcul1!K174&lt;$K$10,0.2*$C$10*$D$10,Calcul1!K174),5)</f>
        <v>0.12188</v>
      </c>
    </row>
    <row r="141" spans="13:14">
      <c r="M141" s="86">
        <v>1.29</v>
      </c>
      <c r="N141" s="93">
        <f>ROUND(IF(Calcul1!K175&lt;$K$10,0.2*$C$10*$D$10,Calcul1!K175),5)</f>
        <v>0.12093</v>
      </c>
    </row>
    <row r="142" spans="13:14">
      <c r="M142" s="86">
        <v>1.3</v>
      </c>
      <c r="N142" s="93">
        <f>ROUND(IF(Calcul1!K176&lt;$K$10,0.2*$C$10*$D$10,Calcul1!K176),5)</f>
        <v>0.12</v>
      </c>
    </row>
    <row r="143" spans="13:14">
      <c r="M143" s="86">
        <v>1.31</v>
      </c>
      <c r="N143" s="93">
        <f>ROUND(IF(Calcul1!K177&lt;$K$10,0.2*$C$10*$D$10,Calcul1!K177),5)</f>
        <v>0.11908000000000001</v>
      </c>
    </row>
    <row r="144" spans="13:14">
      <c r="M144" s="86">
        <v>1.32</v>
      </c>
      <c r="N144" s="93">
        <f>ROUND(IF(Calcul1!K178&lt;$K$10,0.2*$C$10*$D$10,Calcul1!K178),5)</f>
        <v>0.11817999999999999</v>
      </c>
    </row>
    <row r="145" spans="13:14">
      <c r="M145" s="86">
        <v>1.33</v>
      </c>
      <c r="N145" s="93">
        <f>ROUND(IF(Calcul1!K179&lt;$K$10,0.2*$C$10*$D$10,Calcul1!K179),5)</f>
        <v>0.11729000000000001</v>
      </c>
    </row>
    <row r="146" spans="13:14">
      <c r="M146" s="86">
        <v>1.34</v>
      </c>
      <c r="N146" s="93">
        <f>ROUND(IF(Calcul1!K180&lt;$K$10,0.2*$C$10*$D$10,Calcul1!K180),5)</f>
        <v>0.11642</v>
      </c>
    </row>
    <row r="147" spans="13:14">
      <c r="M147" s="86">
        <v>1.35</v>
      </c>
      <c r="N147" s="93">
        <f>ROUND(IF(Calcul1!K181&lt;$K$10,0.2*$C$10*$D$10,Calcul1!K181),5)</f>
        <v>0.11556</v>
      </c>
    </row>
    <row r="148" spans="13:14">
      <c r="M148" s="86">
        <v>1.36</v>
      </c>
      <c r="N148" s="93">
        <f>ROUND(IF(Calcul1!K182&lt;$K$10,0.2*$C$10*$D$10,Calcul1!K182),5)</f>
        <v>0.11471000000000001</v>
      </c>
    </row>
    <row r="149" spans="13:14">
      <c r="M149" s="86">
        <v>1.37</v>
      </c>
      <c r="N149" s="93">
        <f>ROUND(IF(Calcul1!K183&lt;$K$10,0.2*$C$10*$D$10,Calcul1!K183),5)</f>
        <v>0.11387</v>
      </c>
    </row>
    <row r="150" spans="13:14">
      <c r="M150" s="86">
        <v>1.38</v>
      </c>
      <c r="N150" s="93">
        <f>ROUND(IF(Calcul1!K184&lt;$K$10,0.2*$C$10*$D$10,Calcul1!K184),5)</f>
        <v>0.11304</v>
      </c>
    </row>
    <row r="151" spans="13:14">
      <c r="M151" s="86">
        <v>1.39</v>
      </c>
      <c r="N151" s="93">
        <f>ROUND(IF(Calcul1!K185&lt;$K$10,0.2*$C$10*$D$10,Calcul1!K185),5)</f>
        <v>0.11223</v>
      </c>
    </row>
    <row r="152" spans="13:14">
      <c r="M152" s="86">
        <v>1.4</v>
      </c>
      <c r="N152" s="93">
        <f>ROUND(IF(Calcul1!K186&lt;$K$10,0.2*$C$10*$D$10,Calcul1!K186),5)</f>
        <v>0.11143</v>
      </c>
    </row>
    <row r="153" spans="13:14">
      <c r="M153" s="86">
        <v>1.41</v>
      </c>
      <c r="N153" s="93">
        <f>ROUND(IF(Calcul1!K187&lt;$K$10,0.2*$C$10*$D$10,Calcul1!K187),5)</f>
        <v>0.11064</v>
      </c>
    </row>
    <row r="154" spans="13:14">
      <c r="M154" s="86">
        <v>1.42</v>
      </c>
      <c r="N154" s="93">
        <f>ROUND(IF(Calcul1!K188&lt;$K$10,0.2*$C$10*$D$10,Calcul1!K188),5)</f>
        <v>0.10986</v>
      </c>
    </row>
    <row r="155" spans="13:14">
      <c r="M155" s="86">
        <v>1.43</v>
      </c>
      <c r="N155" s="93">
        <f>ROUND(IF(Calcul1!K189&lt;$K$10,0.2*$C$10*$D$10,Calcul1!K189),5)</f>
        <v>0.10909000000000001</v>
      </c>
    </row>
    <row r="156" spans="13:14">
      <c r="M156" s="86">
        <v>1.44</v>
      </c>
      <c r="N156" s="93">
        <f>ROUND(IF(Calcul1!K190&lt;$K$10,0.2*$C$10*$D$10,Calcul1!K190),5)</f>
        <v>0.10833</v>
      </c>
    </row>
    <row r="157" spans="13:14">
      <c r="M157" s="86">
        <v>1.45</v>
      </c>
      <c r="N157" s="93">
        <f>ROUND(IF(Calcul1!K191&lt;$K$10,0.2*$C$10*$D$10,Calcul1!K191),5)</f>
        <v>0.10759000000000001</v>
      </c>
    </row>
    <row r="158" spans="13:14">
      <c r="M158" s="86">
        <v>1.46</v>
      </c>
      <c r="N158" s="93">
        <f>ROUND(IF(Calcul1!K192&lt;$K$10,0.2*$C$10*$D$10,Calcul1!K192),5)</f>
        <v>0.10685</v>
      </c>
    </row>
    <row r="159" spans="13:14">
      <c r="M159" s="86">
        <v>1.47</v>
      </c>
      <c r="N159" s="93">
        <f>ROUND(IF(Calcul1!K193&lt;$K$10,0.2*$C$10*$D$10,Calcul1!K193),5)</f>
        <v>0.10612000000000001</v>
      </c>
    </row>
    <row r="160" spans="13:14">
      <c r="M160" s="86">
        <v>1.48</v>
      </c>
      <c r="N160" s="93">
        <f>ROUND(IF(Calcul1!K194&lt;$K$10,0.2*$C$10*$D$10,Calcul1!K194),5)</f>
        <v>0.10541</v>
      </c>
    </row>
    <row r="161" spans="13:14">
      <c r="M161" s="86">
        <v>1.49</v>
      </c>
      <c r="N161" s="93">
        <f>ROUND(IF(Calcul1!K195&lt;$K$10,0.2*$C$10*$D$10,Calcul1!K195),5)</f>
        <v>0.1047</v>
      </c>
    </row>
    <row r="162" spans="13:14">
      <c r="M162" s="86">
        <v>1.5</v>
      </c>
      <c r="N162" s="93">
        <f>ROUND(IF(Calcul1!K196&lt;$K$10,0.2*$C$10*$D$10,Calcul1!K196),5)</f>
        <v>0.104</v>
      </c>
    </row>
    <row r="163" spans="13:14">
      <c r="M163" s="86">
        <v>1.51</v>
      </c>
      <c r="N163" s="93">
        <f>ROUND(IF(Calcul1!K197&lt;$K$10,0.2*$C$10*$D$10,Calcul1!K197),5)</f>
        <v>0.10331</v>
      </c>
    </row>
    <row r="164" spans="13:14">
      <c r="M164" s="86">
        <v>1.52</v>
      </c>
      <c r="N164" s="93">
        <f>ROUND(IF(Calcul1!K198&lt;$K$10,0.2*$C$10*$D$10,Calcul1!K198),5)</f>
        <v>0.10263</v>
      </c>
    </row>
    <row r="165" spans="13:14">
      <c r="M165" s="86">
        <v>1.53</v>
      </c>
      <c r="N165" s="93">
        <f>ROUND(IF(Calcul1!K199&lt;$K$10,0.2*$C$10*$D$10,Calcul1!K199),5)</f>
        <v>0.10196</v>
      </c>
    </row>
    <row r="166" spans="13:14">
      <c r="M166" s="86">
        <v>1.54</v>
      </c>
      <c r="N166" s="93">
        <f>ROUND(IF(Calcul1!K200&lt;$K$10,0.2*$C$10*$D$10,Calcul1!K200),5)</f>
        <v>0.1013</v>
      </c>
    </row>
    <row r="167" spans="13:14">
      <c r="M167" s="86">
        <v>1.55</v>
      </c>
      <c r="N167" s="93">
        <f>ROUND(IF(Calcul1!K201&lt;$K$10,0.2*$C$10*$D$10,Calcul1!K201),5)</f>
        <v>0.10065</v>
      </c>
    </row>
    <row r="168" spans="13:14">
      <c r="M168" s="86">
        <v>1.56</v>
      </c>
      <c r="N168" s="93">
        <f>ROUND(IF(Calcul1!K202&lt;$K$10,0.2*$C$10*$D$10,Calcul1!K202),5)</f>
        <v>0.1</v>
      </c>
    </row>
    <row r="169" spans="13:14">
      <c r="M169" s="86">
        <v>1.57</v>
      </c>
      <c r="N169" s="93">
        <f>ROUND(IF(Calcul1!K203&lt;$K$10,0.2*$C$10*$D$10,Calcul1!K203),5)</f>
        <v>9.9360000000000004E-2</v>
      </c>
    </row>
    <row r="170" spans="13:14">
      <c r="M170" s="86">
        <v>1.58</v>
      </c>
      <c r="N170" s="93">
        <f>ROUND(IF(Calcul1!K204&lt;$K$10,0.2*$C$10*$D$10,Calcul1!K204),5)</f>
        <v>9.8729999999999998E-2</v>
      </c>
    </row>
    <row r="171" spans="13:14">
      <c r="M171" s="86">
        <v>1.59</v>
      </c>
      <c r="N171" s="93">
        <f>ROUND(IF(Calcul1!K205&lt;$K$10,0.2*$C$10*$D$10,Calcul1!K205),5)</f>
        <v>9.8110000000000003E-2</v>
      </c>
    </row>
    <row r="172" spans="13:14">
      <c r="M172" s="86">
        <v>1.6</v>
      </c>
      <c r="N172" s="93">
        <f>ROUND(IF(Calcul1!K206&lt;$K$10,0.2*$C$10*$D$10,Calcul1!K206),5)</f>
        <v>9.7500000000000003E-2</v>
      </c>
    </row>
    <row r="173" spans="13:14">
      <c r="M173" s="86">
        <v>1.61</v>
      </c>
      <c r="N173" s="93">
        <f>ROUND(IF(Calcul1!K207&lt;$K$10,0.2*$C$10*$D$10,Calcul1!K207),5)</f>
        <v>9.6890000000000004E-2</v>
      </c>
    </row>
    <row r="174" spans="13:14">
      <c r="M174" s="86">
        <v>1.62</v>
      </c>
      <c r="N174" s="93">
        <f>ROUND(IF(Calcul1!K208&lt;$K$10,0.2*$C$10*$D$10,Calcul1!K208),5)</f>
        <v>9.6299999999999997E-2</v>
      </c>
    </row>
    <row r="175" spans="13:14">
      <c r="M175" s="86">
        <v>1.63</v>
      </c>
      <c r="N175" s="93">
        <f>ROUND(IF(Calcul1!K209&lt;$K$10,0.2*$C$10*$D$10,Calcul1!K209),5)</f>
        <v>9.5710000000000003E-2</v>
      </c>
    </row>
    <row r="176" spans="13:14">
      <c r="M176" s="86">
        <v>1.64</v>
      </c>
      <c r="N176" s="93">
        <f>ROUND(IF(Calcul1!K210&lt;$K$10,0.2*$C$10*$D$10,Calcul1!K210),5)</f>
        <v>9.5119999999999996E-2</v>
      </c>
    </row>
    <row r="177" spans="13:14">
      <c r="M177" s="86">
        <v>1.65</v>
      </c>
      <c r="N177" s="93">
        <f>ROUND(IF(Calcul1!K211&lt;$K$10,0.2*$C$10*$D$10,Calcul1!K211),5)</f>
        <v>9.4549999999999995E-2</v>
      </c>
    </row>
    <row r="178" spans="13:14">
      <c r="M178" s="86">
        <v>1.66</v>
      </c>
      <c r="N178" s="93">
        <f>ROUND(IF(Calcul1!K212&lt;$K$10,0.2*$C$10*$D$10,Calcul1!K212),5)</f>
        <v>9.3979999999999994E-2</v>
      </c>
    </row>
    <row r="179" spans="13:14">
      <c r="M179" s="86">
        <v>1.67</v>
      </c>
      <c r="N179" s="93">
        <f>ROUND(IF(Calcul1!K213&lt;$K$10,0.2*$C$10*$D$10,Calcul1!K213),5)</f>
        <v>9.3410000000000007E-2</v>
      </c>
    </row>
    <row r="180" spans="13:14">
      <c r="M180" s="86">
        <v>1.68</v>
      </c>
      <c r="N180" s="93">
        <f>ROUND(IF(Calcul1!K214&lt;$K$10,0.2*$C$10*$D$10,Calcul1!K214),5)</f>
        <v>9.2859999999999998E-2</v>
      </c>
    </row>
    <row r="181" spans="13:14">
      <c r="M181" s="86">
        <v>1.69</v>
      </c>
      <c r="N181" s="93">
        <f>ROUND(IF(Calcul1!K215&lt;$K$10,0.2*$C$10*$D$10,Calcul1!K215),5)</f>
        <v>9.2310000000000003E-2</v>
      </c>
    </row>
    <row r="182" spans="13:14">
      <c r="M182" s="86">
        <v>1.7</v>
      </c>
      <c r="N182" s="93">
        <f>ROUND(IF(Calcul1!K216&lt;$K$10,0.2*$C$10*$D$10,Calcul1!K216),5)</f>
        <v>9.1759999999999994E-2</v>
      </c>
    </row>
    <row r="183" spans="13:14">
      <c r="M183" s="86">
        <v>1.71</v>
      </c>
      <c r="N183" s="93">
        <f>ROUND(IF(Calcul1!K217&lt;$K$10,0.2*$C$10*$D$10,Calcul1!K217),5)</f>
        <v>9.1230000000000006E-2</v>
      </c>
    </row>
    <row r="184" spans="13:14">
      <c r="M184" s="86">
        <v>1.72</v>
      </c>
      <c r="N184" s="93">
        <f>ROUND(IF(Calcul1!K218&lt;$K$10,0.2*$C$10*$D$10,Calcul1!K218),5)</f>
        <v>9.0700000000000003E-2</v>
      </c>
    </row>
    <row r="185" spans="13:14">
      <c r="M185" s="86">
        <v>1.73</v>
      </c>
      <c r="N185" s="93">
        <f>ROUND(IF(Calcul1!K219&lt;$K$10,0.2*$C$10*$D$10,Calcul1!K219),5)</f>
        <v>9.017E-2</v>
      </c>
    </row>
    <row r="186" spans="13:14">
      <c r="M186" s="86">
        <v>1.74</v>
      </c>
      <c r="N186" s="93">
        <f>ROUND(IF(Calcul1!K220&lt;$K$10,0.2*$C$10*$D$10,Calcul1!K220),5)</f>
        <v>8.9660000000000004E-2</v>
      </c>
    </row>
    <row r="187" spans="13:14">
      <c r="M187" s="86">
        <v>1.75</v>
      </c>
      <c r="N187" s="93">
        <f>ROUND(IF(Calcul1!K221&lt;$K$10,0.2*$C$10*$D$10,Calcul1!K221),5)</f>
        <v>8.9139999999999997E-2</v>
      </c>
    </row>
    <row r="188" spans="13:14">
      <c r="M188" s="86">
        <v>1.76</v>
      </c>
      <c r="N188" s="93">
        <f>ROUND(IF(Calcul1!K222&lt;$K$10,0.2*$C$10*$D$10,Calcul1!K222),5)</f>
        <v>8.8639999999999997E-2</v>
      </c>
    </row>
    <row r="189" spans="13:14">
      <c r="M189" s="86">
        <v>1.77</v>
      </c>
      <c r="N189" s="93">
        <f>ROUND(IF(Calcul1!K223&lt;$K$10,0.2*$C$10*$D$10,Calcul1!K223),5)</f>
        <v>8.8139999999999996E-2</v>
      </c>
    </row>
    <row r="190" spans="13:14">
      <c r="M190" s="86">
        <v>1.78</v>
      </c>
      <c r="N190" s="93">
        <f>ROUND(IF(Calcul1!K224&lt;$K$10,0.2*$C$10*$D$10,Calcul1!K224),5)</f>
        <v>8.7639999999999996E-2</v>
      </c>
    </row>
    <row r="191" spans="13:14">
      <c r="M191" s="86">
        <v>1.79</v>
      </c>
      <c r="N191" s="93">
        <f>ROUND(IF(Calcul1!K225&lt;$K$10,0.2*$C$10*$D$10,Calcul1!K225),5)</f>
        <v>8.7150000000000005E-2</v>
      </c>
    </row>
    <row r="192" spans="13:14">
      <c r="M192" s="86">
        <v>1.8</v>
      </c>
      <c r="N192" s="93">
        <f>ROUND(IF(Calcul1!K226&lt;$K$10,0.2*$C$10*$D$10,Calcul1!K226),5)</f>
        <v>8.6669999999999997E-2</v>
      </c>
    </row>
    <row r="193" spans="13:14">
      <c r="M193" s="86">
        <v>1.81</v>
      </c>
      <c r="N193" s="93">
        <f>ROUND(IF(Calcul1!K227&lt;$K$10,0.2*$C$10*$D$10,Calcul1!K227),5)</f>
        <v>8.6190000000000003E-2</v>
      </c>
    </row>
    <row r="194" spans="13:14">
      <c r="M194" s="86">
        <v>1.82</v>
      </c>
      <c r="N194" s="93">
        <f>ROUND(IF(Calcul1!K228&lt;$K$10,0.2*$C$10*$D$10,Calcul1!K228),5)</f>
        <v>8.5709999999999995E-2</v>
      </c>
    </row>
    <row r="195" spans="13:14">
      <c r="M195" s="86">
        <v>1.83</v>
      </c>
      <c r="N195" s="93">
        <f>ROUND(IF(Calcul1!K229&lt;$K$10,0.2*$C$10*$D$10,Calcul1!K229),5)</f>
        <v>8.5250000000000006E-2</v>
      </c>
    </row>
    <row r="196" spans="13:14">
      <c r="M196" s="86">
        <v>1.84</v>
      </c>
      <c r="N196" s="93">
        <f>ROUND(IF(Calcul1!K230&lt;$K$10,0.2*$C$10*$D$10,Calcul1!K230),5)</f>
        <v>8.4779999999999994E-2</v>
      </c>
    </row>
    <row r="197" spans="13:14">
      <c r="M197" s="86">
        <v>1.85</v>
      </c>
      <c r="N197" s="93">
        <f>ROUND(IF(Calcul1!K231&lt;$K$10,0.2*$C$10*$D$10,Calcul1!K231),5)</f>
        <v>8.4320000000000006E-2</v>
      </c>
    </row>
    <row r="198" spans="13:14">
      <c r="M198" s="86">
        <v>1.86</v>
      </c>
      <c r="N198" s="93">
        <f>ROUND(IF(Calcul1!K232&lt;$K$10,0.2*$C$10*$D$10,Calcul1!K232),5)</f>
        <v>8.387E-2</v>
      </c>
    </row>
    <row r="199" spans="13:14">
      <c r="M199" s="86">
        <v>1.87</v>
      </c>
      <c r="N199" s="93">
        <f>ROUND(IF(Calcul1!K233&lt;$K$10,0.2*$C$10*$D$10,Calcul1!K233),5)</f>
        <v>8.3419999999999994E-2</v>
      </c>
    </row>
    <row r="200" spans="13:14">
      <c r="M200" s="86">
        <v>1.88</v>
      </c>
      <c r="N200" s="93">
        <f>ROUND(IF(Calcul1!K234&lt;$K$10,0.2*$C$10*$D$10,Calcul1!K234),5)</f>
        <v>8.2979999999999998E-2</v>
      </c>
    </row>
    <row r="201" spans="13:14">
      <c r="M201" s="86">
        <v>1.89</v>
      </c>
      <c r="N201" s="93">
        <f>ROUND(IF(Calcul1!K235&lt;$K$10,0.2*$C$10*$D$10,Calcul1!K235),5)</f>
        <v>8.2540000000000002E-2</v>
      </c>
    </row>
    <row r="202" spans="13:14">
      <c r="M202" s="86">
        <v>1.9</v>
      </c>
      <c r="N202" s="93">
        <f>ROUND(IF(Calcul1!K236&lt;$K$10,0.2*$C$10*$D$10,Calcul1!K236),5)</f>
        <v>8.2110000000000002E-2</v>
      </c>
    </row>
    <row r="203" spans="13:14">
      <c r="M203" s="86">
        <v>1.91</v>
      </c>
      <c r="N203" s="93">
        <f>ROUND(IF(Calcul1!K237&lt;$K$10,0.2*$C$10*$D$10,Calcul1!K237),5)</f>
        <v>8.1680000000000003E-2</v>
      </c>
    </row>
    <row r="204" spans="13:14">
      <c r="M204" s="86">
        <v>1.92</v>
      </c>
      <c r="N204" s="93">
        <f>ROUND(IF(Calcul1!K238&lt;$K$10,0.2*$C$10*$D$10,Calcul1!K238),5)</f>
        <v>8.1250000000000003E-2</v>
      </c>
    </row>
    <row r="205" spans="13:14">
      <c r="M205" s="86">
        <v>1.93</v>
      </c>
      <c r="N205" s="93">
        <f>ROUND(IF(Calcul1!K239&lt;$K$10,0.2*$C$10*$D$10,Calcul1!K239),5)</f>
        <v>8.0829999999999999E-2</v>
      </c>
    </row>
    <row r="206" spans="13:14">
      <c r="M206" s="86">
        <v>1.94</v>
      </c>
      <c r="N206" s="93">
        <f>ROUND(IF(Calcul1!K240&lt;$K$10,0.2*$C$10*$D$10,Calcul1!K240),5)</f>
        <v>8.0409999999999995E-2</v>
      </c>
    </row>
    <row r="207" spans="13:14">
      <c r="M207" s="86">
        <v>1.95</v>
      </c>
      <c r="N207" s="93">
        <f>ROUND(IF(Calcul1!K241&lt;$K$10,0.2*$C$10*$D$10,Calcul1!K241),5)</f>
        <v>0.08</v>
      </c>
    </row>
    <row r="208" spans="13:14">
      <c r="M208" s="86">
        <v>1.96</v>
      </c>
      <c r="N208" s="93">
        <f>ROUND(IF(Calcul1!K242&lt;$K$10,0.2*$C$10*$D$10,Calcul1!K242),5)</f>
        <v>7.9589999999999994E-2</v>
      </c>
    </row>
    <row r="209" spans="13:14">
      <c r="M209" s="86">
        <v>1.97</v>
      </c>
      <c r="N209" s="93">
        <f>ROUND(IF(Calcul1!K243&lt;$K$10,0.2*$C$10*$D$10,Calcul1!K243),5)</f>
        <v>7.9189999999999997E-2</v>
      </c>
    </row>
    <row r="210" spans="13:14">
      <c r="M210" s="86">
        <v>1.98</v>
      </c>
      <c r="N210" s="93">
        <f>ROUND(IF(Calcul1!K244&lt;$K$10,0.2*$C$10*$D$10,Calcul1!K244),5)</f>
        <v>7.8789999999999999E-2</v>
      </c>
    </row>
    <row r="211" spans="13:14">
      <c r="M211" s="86">
        <v>1.99</v>
      </c>
      <c r="N211" s="93">
        <f>ROUND(IF(Calcul1!K245&lt;$K$10,0.2*$C$10*$D$10,Calcul1!K245),5)</f>
        <v>7.8390000000000001E-2</v>
      </c>
    </row>
    <row r="212" spans="13:14">
      <c r="M212" s="86">
        <v>2</v>
      </c>
      <c r="N212" s="93">
        <f>ROUND(IF(Calcul1!K246&lt;$K$10,0.2*$C$10*$D$10,Calcul1!K246),5)</f>
        <v>7.8E-2</v>
      </c>
    </row>
    <row r="213" spans="13:14">
      <c r="M213" s="86">
        <v>2.0099999999999998</v>
      </c>
      <c r="N213" s="93">
        <f>ROUND(IF(Calcul1!K247&lt;$K$10,0.2*$C$10*$D$10,Calcul1!K247),5)</f>
        <v>7.7229999999999993E-2</v>
      </c>
    </row>
    <row r="214" spans="13:14">
      <c r="M214" s="86">
        <v>2.02</v>
      </c>
      <c r="N214" s="93">
        <f>ROUND(IF(Calcul1!K248&lt;$K$10,0.2*$C$10*$D$10,Calcul1!K248),5)</f>
        <v>7.646E-2</v>
      </c>
    </row>
    <row r="215" spans="13:14">
      <c r="M215" s="86">
        <v>2.0299999999999998</v>
      </c>
      <c r="N215" s="93">
        <f>ROUND(IF(Calcul1!K249&lt;$K$10,0.2*$C$10*$D$10,Calcul1!K249),5)</f>
        <v>7.571E-2</v>
      </c>
    </row>
    <row r="216" spans="13:14">
      <c r="M216" s="86">
        <v>2.04</v>
      </c>
      <c r="N216" s="93">
        <f>ROUND(IF(Calcul1!K250&lt;$K$10,0.2*$C$10*$D$10,Calcul1!K250),5)</f>
        <v>7.4969999999999995E-2</v>
      </c>
    </row>
    <row r="217" spans="13:14">
      <c r="M217" s="86">
        <v>2.0499999999999998</v>
      </c>
      <c r="N217" s="93">
        <f>ROUND(IF(Calcul1!K251&lt;$K$10,0.2*$C$10*$D$10,Calcul1!K251),5)</f>
        <v>7.424E-2</v>
      </c>
    </row>
    <row r="218" spans="13:14">
      <c r="M218" s="86">
        <v>2.06</v>
      </c>
      <c r="N218" s="93">
        <f>ROUND(IF(Calcul1!K252&lt;$K$10,0.2*$C$10*$D$10,Calcul1!K252),5)</f>
        <v>7.3520000000000002E-2</v>
      </c>
    </row>
    <row r="219" spans="13:14">
      <c r="M219" s="86">
        <v>2.0699999999999998</v>
      </c>
      <c r="N219" s="93">
        <f>ROUND(IF(Calcul1!K253&lt;$K$10,0.2*$C$10*$D$10,Calcul1!K253),5)</f>
        <v>7.281E-2</v>
      </c>
    </row>
    <row r="220" spans="13:14">
      <c r="M220" s="86">
        <v>2.08</v>
      </c>
      <c r="N220" s="93">
        <f>ROUND(IF(Calcul1!K254&lt;$K$10,0.2*$C$10*$D$10,Calcul1!K254),5)</f>
        <v>7.2120000000000004E-2</v>
      </c>
    </row>
    <row r="221" spans="13:14">
      <c r="M221" s="86">
        <v>2.09</v>
      </c>
      <c r="N221" s="93">
        <f>ROUND(IF(Calcul1!K255&lt;$K$10,0.2*$C$10*$D$10,Calcul1!K255),5)</f>
        <v>7.1429999999999993E-2</v>
      </c>
    </row>
    <row r="222" spans="13:14">
      <c r="M222" s="86">
        <v>2.1</v>
      </c>
      <c r="N222" s="93">
        <f>ROUND(IF(Calcul1!K256&lt;$K$10,0.2*$C$10*$D$10,Calcul1!K256),5)</f>
        <v>7.0749999999999993E-2</v>
      </c>
    </row>
    <row r="223" spans="13:14">
      <c r="M223" s="86">
        <v>2.11</v>
      </c>
      <c r="N223" s="93">
        <f>ROUND(IF(Calcul1!K257&lt;$K$10,0.2*$C$10*$D$10,Calcul1!K257),5)</f>
        <v>7.0080000000000003E-2</v>
      </c>
    </row>
    <row r="224" spans="13:14">
      <c r="M224" s="86">
        <v>2.12</v>
      </c>
      <c r="N224" s="93">
        <f>ROUND(IF(Calcul1!K258&lt;$K$10,0.2*$C$10*$D$10,Calcul1!K258),5)</f>
        <v>6.9419999999999996E-2</v>
      </c>
    </row>
    <row r="225" spans="13:14">
      <c r="M225" s="86">
        <v>2.13</v>
      </c>
      <c r="N225" s="93">
        <f>ROUND(IF(Calcul1!K259&lt;$K$10,0.2*$C$10*$D$10,Calcul1!K259),5)</f>
        <v>6.8769999999999998E-2</v>
      </c>
    </row>
    <row r="226" spans="13:14">
      <c r="M226" s="86">
        <v>2.14</v>
      </c>
      <c r="N226" s="93">
        <f>ROUND(IF(Calcul1!K260&lt;$K$10,0.2*$C$10*$D$10,Calcul1!K260),5)</f>
        <v>6.8129999999999996E-2</v>
      </c>
    </row>
    <row r="227" spans="13:14">
      <c r="M227" s="86">
        <v>2.15</v>
      </c>
      <c r="N227" s="93">
        <f>ROUND(IF(Calcul1!K261&lt;$K$10,0.2*$C$10*$D$10,Calcul1!K261),5)</f>
        <v>6.7500000000000004E-2</v>
      </c>
    </row>
    <row r="228" spans="13:14">
      <c r="M228" s="86">
        <v>2.16</v>
      </c>
      <c r="N228" s="93">
        <f>ROUND(IF(Calcul1!K262&lt;$K$10,0.2*$C$10*$D$10,Calcul1!K262),5)</f>
        <v>6.6869999999999999E-2</v>
      </c>
    </row>
    <row r="229" spans="13:14">
      <c r="M229" s="86">
        <v>2.17</v>
      </c>
      <c r="N229" s="93">
        <f>ROUND(IF(Calcul1!K263&lt;$K$10,0.2*$C$10*$D$10,Calcul1!K263),5)</f>
        <v>6.6259999999999999E-2</v>
      </c>
    </row>
    <row r="230" spans="13:14">
      <c r="M230" s="86">
        <v>2.1800000000000002</v>
      </c>
      <c r="N230" s="93">
        <f>ROUND(IF(Calcul1!K264&lt;$K$10,0.2*$C$10*$D$10,Calcul1!K264),5)</f>
        <v>6.565E-2</v>
      </c>
    </row>
    <row r="231" spans="13:14">
      <c r="M231" s="86">
        <v>2.19</v>
      </c>
      <c r="N231" s="93">
        <f>ROUND(IF(Calcul1!K265&lt;$K$10,0.2*$C$10*$D$10,Calcul1!K265),5)</f>
        <v>6.5049999999999997E-2</v>
      </c>
    </row>
    <row r="232" spans="13:14">
      <c r="M232" s="86">
        <v>2.2000000000000002</v>
      </c>
      <c r="N232" s="93">
        <f>ROUND(IF(Calcul1!K266&lt;$K$10,0.2*$C$10*$D$10,Calcul1!K266),5)</f>
        <v>6.4460000000000003E-2</v>
      </c>
    </row>
    <row r="233" spans="13:14">
      <c r="M233" s="86">
        <v>2.21</v>
      </c>
      <c r="N233" s="93">
        <f>ROUND(IF(Calcul1!K267&lt;$K$10,0.2*$C$10*$D$10,Calcul1!K267),5)</f>
        <v>6.3880000000000006E-2</v>
      </c>
    </row>
    <row r="234" spans="13:14">
      <c r="M234" s="86">
        <v>2.2200000000000002</v>
      </c>
      <c r="N234" s="93">
        <f>ROUND(IF(Calcul1!K268&lt;$K$10,0.2*$C$10*$D$10,Calcul1!K268),5)</f>
        <v>6.3310000000000005E-2</v>
      </c>
    </row>
    <row r="235" spans="13:14">
      <c r="M235" s="86">
        <v>2.23</v>
      </c>
      <c r="N235" s="93">
        <f>ROUND(IF(Calcul1!K269&lt;$K$10,0.2*$C$10*$D$10,Calcul1!K269),5)</f>
        <v>6.2740000000000004E-2</v>
      </c>
    </row>
    <row r="236" spans="13:14">
      <c r="M236" s="86">
        <v>2.2400000000000002</v>
      </c>
      <c r="N236" s="93">
        <f>ROUND(IF(Calcul1!K270&lt;$K$10,0.2*$C$10*$D$10,Calcul1!K270),5)</f>
        <v>6.2179999999999999E-2</v>
      </c>
    </row>
    <row r="237" spans="13:14">
      <c r="M237" s="86">
        <v>2.25</v>
      </c>
      <c r="N237" s="93">
        <f>ROUND(IF(Calcul1!K271&lt;$K$10,0.2*$C$10*$D$10,Calcul1!K271),5)</f>
        <v>6.1629999999999997E-2</v>
      </c>
    </row>
    <row r="238" spans="13:14">
      <c r="M238" s="86">
        <v>2.2599999999999998</v>
      </c>
      <c r="N238" s="93">
        <f>ROUND(IF(Calcul1!K272&lt;$K$10,0.2*$C$10*$D$10,Calcul1!K272),5)</f>
        <v>6.1089999999999998E-2</v>
      </c>
    </row>
    <row r="239" spans="13:14">
      <c r="M239" s="86">
        <v>2.27</v>
      </c>
      <c r="N239" s="93">
        <f>ROUND(IF(Calcul1!K273&lt;$K$10,0.2*$C$10*$D$10,Calcul1!K273),5)</f>
        <v>6.055E-2</v>
      </c>
    </row>
    <row r="240" spans="13:14">
      <c r="M240" s="86">
        <v>2.2799999999999998</v>
      </c>
      <c r="N240" s="93">
        <f>ROUND(IF(Calcul1!K274&lt;$K$10,0.2*$C$10*$D$10,Calcul1!K274),5)</f>
        <v>6.0019999999999997E-2</v>
      </c>
    </row>
    <row r="241" spans="13:14">
      <c r="M241" s="86">
        <v>2.29</v>
      </c>
      <c r="N241" s="93">
        <f>ROUND(IF(Calcul1!K275&lt;$K$10,0.2*$C$10*$D$10,Calcul1!K275),5)</f>
        <v>0.06</v>
      </c>
    </row>
    <row r="242" spans="13:14">
      <c r="M242" s="86">
        <v>2.2999999999999998</v>
      </c>
      <c r="N242" s="93">
        <f>ROUND(IF(Calcul1!K276&lt;$K$10,0.2*$C$10*$D$10,Calcul1!K276),5)</f>
        <v>0.06</v>
      </c>
    </row>
    <row r="243" spans="13:14">
      <c r="M243" s="86">
        <v>2.31</v>
      </c>
      <c r="N243" s="93">
        <f>ROUND(IF(Calcul1!K277&lt;$K$10,0.2*$C$10*$D$10,Calcul1!K277),5)</f>
        <v>0.06</v>
      </c>
    </row>
    <row r="244" spans="13:14">
      <c r="M244" s="86">
        <v>2.3199999999999998</v>
      </c>
      <c r="N244" s="93">
        <f>ROUND(IF(Calcul1!K278&lt;$K$10,0.2*$C$10*$D$10,Calcul1!K278),5)</f>
        <v>0.06</v>
      </c>
    </row>
    <row r="245" spans="13:14">
      <c r="M245" s="86">
        <v>2.33</v>
      </c>
      <c r="N245" s="93">
        <f>ROUND(IF(Calcul1!K279&lt;$K$10,0.2*$C$10*$D$10,Calcul1!K279),5)</f>
        <v>0.06</v>
      </c>
    </row>
    <row r="246" spans="13:14">
      <c r="M246" s="86">
        <v>2.34</v>
      </c>
      <c r="N246" s="93">
        <f>ROUND(IF(Calcul1!K280&lt;$K$10,0.2*$C$10*$D$10,Calcul1!K280),5)</f>
        <v>0.06</v>
      </c>
    </row>
    <row r="247" spans="13:14">
      <c r="M247" s="86">
        <v>2.35</v>
      </c>
      <c r="N247" s="93">
        <f>ROUND(IF(Calcul1!K281&lt;$K$10,0.2*$C$10*$D$10,Calcul1!K281),5)</f>
        <v>0.06</v>
      </c>
    </row>
    <row r="248" spans="13:14">
      <c r="M248" s="86">
        <v>2.36</v>
      </c>
      <c r="N248" s="93">
        <f>ROUND(IF(Calcul1!K282&lt;$K$10,0.2*$C$10*$D$10,Calcul1!K282),5)</f>
        <v>0.06</v>
      </c>
    </row>
    <row r="249" spans="13:14">
      <c r="M249" s="86">
        <v>2.37</v>
      </c>
      <c r="N249" s="93">
        <f>ROUND(IF(Calcul1!K283&lt;$K$10,0.2*$C$10*$D$10,Calcul1!K283),5)</f>
        <v>0.06</v>
      </c>
    </row>
    <row r="250" spans="13:14">
      <c r="M250" s="86">
        <v>2.38</v>
      </c>
      <c r="N250" s="93">
        <f>ROUND(IF(Calcul1!K284&lt;$K$10,0.2*$C$10*$D$10,Calcul1!K284),5)</f>
        <v>0.06</v>
      </c>
    </row>
    <row r="251" spans="13:14">
      <c r="M251" s="86">
        <v>2.39</v>
      </c>
      <c r="N251" s="93">
        <f>ROUND(IF(Calcul1!K285&lt;$K$10,0.2*$C$10*$D$10,Calcul1!K285),5)</f>
        <v>0.06</v>
      </c>
    </row>
    <row r="252" spans="13:14">
      <c r="M252" s="86">
        <v>2.4</v>
      </c>
      <c r="N252" s="93">
        <f>ROUND(IF(Calcul1!K286&lt;$K$10,0.2*$C$10*$D$10,Calcul1!K286),5)</f>
        <v>0.06</v>
      </c>
    </row>
    <row r="253" spans="13:14">
      <c r="M253" s="86">
        <v>2.41</v>
      </c>
      <c r="N253" s="93">
        <f>ROUND(IF(Calcul1!K287&lt;$K$10,0.2*$C$10*$D$10,Calcul1!K287),5)</f>
        <v>0.06</v>
      </c>
    </row>
    <row r="254" spans="13:14">
      <c r="M254" s="86">
        <v>2.42</v>
      </c>
      <c r="N254" s="93">
        <f>ROUND(IF(Calcul1!K288&lt;$K$10,0.2*$C$10*$D$10,Calcul1!K288),5)</f>
        <v>0.06</v>
      </c>
    </row>
    <row r="255" spans="13:14">
      <c r="M255" s="86">
        <v>2.4300000000000002</v>
      </c>
      <c r="N255" s="93">
        <f>ROUND(IF(Calcul1!K289&lt;$K$10,0.2*$C$10*$D$10,Calcul1!K289),5)</f>
        <v>0.06</v>
      </c>
    </row>
    <row r="256" spans="13:14">
      <c r="M256" s="86">
        <v>2.44</v>
      </c>
      <c r="N256" s="93">
        <f>ROUND(IF(Calcul1!K290&lt;$K$10,0.2*$C$10*$D$10,Calcul1!K290),5)</f>
        <v>0.06</v>
      </c>
    </row>
    <row r="257" spans="13:14">
      <c r="M257" s="86">
        <v>2.4500000000000002</v>
      </c>
      <c r="N257" s="93">
        <f>ROUND(IF(Calcul1!K291&lt;$K$10,0.2*$C$10*$D$10,Calcul1!K291),5)</f>
        <v>0.06</v>
      </c>
    </row>
    <row r="258" spans="13:14">
      <c r="M258" s="86">
        <v>2.46</v>
      </c>
      <c r="N258" s="93">
        <f>ROUND(IF(Calcul1!K292&lt;$K$10,0.2*$C$10*$D$10,Calcul1!K292),5)</f>
        <v>0.06</v>
      </c>
    </row>
    <row r="259" spans="13:14">
      <c r="M259" s="86">
        <v>2.4700000000000002</v>
      </c>
      <c r="N259" s="93">
        <f>ROUND(IF(Calcul1!K293&lt;$K$10,0.2*$C$10*$D$10,Calcul1!K293),5)</f>
        <v>0.06</v>
      </c>
    </row>
    <row r="260" spans="13:14">
      <c r="M260" s="86">
        <v>2.48</v>
      </c>
      <c r="N260" s="93">
        <f>ROUND(IF(Calcul1!K294&lt;$K$10,0.2*$C$10*$D$10,Calcul1!K294),5)</f>
        <v>0.06</v>
      </c>
    </row>
    <row r="261" spans="13:14">
      <c r="M261" s="86">
        <v>2.4900000000000002</v>
      </c>
      <c r="N261" s="93">
        <f>ROUND(IF(Calcul1!K295&lt;$K$10,0.2*$C$10*$D$10,Calcul1!K295),5)</f>
        <v>0.06</v>
      </c>
    </row>
    <row r="262" spans="13:14">
      <c r="M262" s="86">
        <v>2.5</v>
      </c>
      <c r="N262" s="93">
        <f>ROUND(IF(Calcul1!K296&lt;$K$10,0.2*$C$10*$D$10,Calcul1!K296),5)</f>
        <v>0.06</v>
      </c>
    </row>
    <row r="263" spans="13:14">
      <c r="M263" s="86">
        <v>2.5099999999999998</v>
      </c>
      <c r="N263" s="93">
        <f>ROUND(IF(Calcul1!K297&lt;$K$10,0.2*$C$10*$D$10,Calcul1!K297),5)</f>
        <v>0.06</v>
      </c>
    </row>
    <row r="264" spans="13:14">
      <c r="M264" s="86">
        <v>2.52</v>
      </c>
      <c r="N264" s="93">
        <f>ROUND(IF(Calcul1!K298&lt;$K$10,0.2*$C$10*$D$10,Calcul1!K298),5)</f>
        <v>0.06</v>
      </c>
    </row>
    <row r="265" spans="13:14">
      <c r="M265" s="86">
        <v>2.5299999999999998</v>
      </c>
      <c r="N265" s="93">
        <f>ROUND(IF(Calcul1!K299&lt;$K$10,0.2*$C$10*$D$10,Calcul1!K299),5)</f>
        <v>0.06</v>
      </c>
    </row>
    <row r="266" spans="13:14">
      <c r="M266" s="86">
        <v>2.54</v>
      </c>
      <c r="N266" s="93">
        <f>ROUND(IF(Calcul1!K300&lt;$K$10,0.2*$C$10*$D$10,Calcul1!K300),5)</f>
        <v>0.06</v>
      </c>
    </row>
    <row r="267" spans="13:14">
      <c r="M267" s="86">
        <v>2.5499999999999998</v>
      </c>
      <c r="N267" s="93">
        <f>ROUND(IF(Calcul1!K301&lt;$K$10,0.2*$C$10*$D$10,Calcul1!K301),5)</f>
        <v>0.06</v>
      </c>
    </row>
    <row r="268" spans="13:14">
      <c r="M268" s="86">
        <v>2.56</v>
      </c>
      <c r="N268" s="93">
        <f>ROUND(IF(Calcul1!K302&lt;$K$10,0.2*$C$10*$D$10,Calcul1!K302),5)</f>
        <v>0.06</v>
      </c>
    </row>
    <row r="269" spans="13:14">
      <c r="M269" s="86">
        <v>2.57</v>
      </c>
      <c r="N269" s="93">
        <f>ROUND(IF(Calcul1!K303&lt;$K$10,0.2*$C$10*$D$10,Calcul1!K303),5)</f>
        <v>0.06</v>
      </c>
    </row>
    <row r="270" spans="13:14">
      <c r="M270" s="86">
        <v>2.58</v>
      </c>
      <c r="N270" s="93">
        <f>ROUND(IF(Calcul1!K304&lt;$K$10,0.2*$C$10*$D$10,Calcul1!K304),5)</f>
        <v>0.06</v>
      </c>
    </row>
    <row r="271" spans="13:14">
      <c r="M271" s="86">
        <v>2.59</v>
      </c>
      <c r="N271" s="93">
        <f>ROUND(IF(Calcul1!K305&lt;$K$10,0.2*$C$10*$D$10,Calcul1!K305),5)</f>
        <v>0.06</v>
      </c>
    </row>
    <row r="272" spans="13:14">
      <c r="M272" s="86">
        <v>2.6</v>
      </c>
      <c r="N272" s="93">
        <f>ROUND(IF(Calcul1!K306&lt;$K$10,0.2*$C$10*$D$10,Calcul1!K306),5)</f>
        <v>0.06</v>
      </c>
    </row>
    <row r="273" spans="13:14">
      <c r="M273" s="86">
        <v>2.61</v>
      </c>
      <c r="N273" s="93">
        <f>ROUND(IF(Calcul1!K307&lt;$K$10,0.2*$C$10*$D$10,Calcul1!K307),5)</f>
        <v>0.06</v>
      </c>
    </row>
    <row r="274" spans="13:14">
      <c r="M274" s="86">
        <v>2.62</v>
      </c>
      <c r="N274" s="93">
        <f>ROUND(IF(Calcul1!K308&lt;$K$10,0.2*$C$10*$D$10,Calcul1!K308),5)</f>
        <v>0.06</v>
      </c>
    </row>
    <row r="275" spans="13:14">
      <c r="M275" s="86">
        <v>2.63</v>
      </c>
      <c r="N275" s="93">
        <f>ROUND(IF(Calcul1!K309&lt;$K$10,0.2*$C$10*$D$10,Calcul1!K309),5)</f>
        <v>0.06</v>
      </c>
    </row>
    <row r="276" spans="13:14">
      <c r="M276" s="86">
        <v>2.64</v>
      </c>
      <c r="N276" s="93">
        <f>ROUND(IF(Calcul1!K310&lt;$K$10,0.2*$C$10*$D$10,Calcul1!K310),5)</f>
        <v>0.06</v>
      </c>
    </row>
    <row r="277" spans="13:14">
      <c r="M277" s="86">
        <v>2.65</v>
      </c>
      <c r="N277" s="93">
        <f>ROUND(IF(Calcul1!K311&lt;$K$10,0.2*$C$10*$D$10,Calcul1!K311),5)</f>
        <v>0.06</v>
      </c>
    </row>
    <row r="278" spans="13:14">
      <c r="M278" s="86">
        <v>2.66</v>
      </c>
      <c r="N278" s="93">
        <f>ROUND(IF(Calcul1!K312&lt;$K$10,0.2*$C$10*$D$10,Calcul1!K312),5)</f>
        <v>0.06</v>
      </c>
    </row>
    <row r="279" spans="13:14">
      <c r="M279" s="86">
        <v>2.67</v>
      </c>
      <c r="N279" s="93">
        <f>ROUND(IF(Calcul1!K313&lt;$K$10,0.2*$C$10*$D$10,Calcul1!K313),5)</f>
        <v>0.06</v>
      </c>
    </row>
    <row r="280" spans="13:14">
      <c r="M280" s="86">
        <v>2.68</v>
      </c>
      <c r="N280" s="93">
        <f>ROUND(IF(Calcul1!K314&lt;$K$10,0.2*$C$10*$D$10,Calcul1!K314),5)</f>
        <v>0.06</v>
      </c>
    </row>
    <row r="281" spans="13:14">
      <c r="M281" s="86">
        <v>2.69</v>
      </c>
      <c r="N281" s="93">
        <f>ROUND(IF(Calcul1!K315&lt;$K$10,0.2*$C$10*$D$10,Calcul1!K315),5)</f>
        <v>0.06</v>
      </c>
    </row>
    <row r="282" spans="13:14">
      <c r="M282" s="86">
        <v>2.7</v>
      </c>
      <c r="N282" s="93">
        <f>ROUND(IF(Calcul1!K316&lt;$K$10,0.2*$C$10*$D$10,Calcul1!K316),5)</f>
        <v>0.06</v>
      </c>
    </row>
    <row r="283" spans="13:14">
      <c r="M283" s="86">
        <v>2.71</v>
      </c>
      <c r="N283" s="93">
        <f>ROUND(IF(Calcul1!K317&lt;$K$10,0.2*$C$10*$D$10,Calcul1!K317),5)</f>
        <v>0.06</v>
      </c>
    </row>
    <row r="284" spans="13:14">
      <c r="M284" s="86">
        <v>2.72</v>
      </c>
      <c r="N284" s="93">
        <f>ROUND(IF(Calcul1!K318&lt;$K$10,0.2*$C$10*$D$10,Calcul1!K318),5)</f>
        <v>0.06</v>
      </c>
    </row>
    <row r="285" spans="13:14">
      <c r="M285" s="86">
        <v>2.73</v>
      </c>
      <c r="N285" s="93">
        <f>ROUND(IF(Calcul1!K319&lt;$K$10,0.2*$C$10*$D$10,Calcul1!K319),5)</f>
        <v>0.06</v>
      </c>
    </row>
    <row r="286" spans="13:14">
      <c r="M286" s="86">
        <v>2.74</v>
      </c>
      <c r="N286" s="93">
        <f>ROUND(IF(Calcul1!K320&lt;$K$10,0.2*$C$10*$D$10,Calcul1!K320),5)</f>
        <v>0.06</v>
      </c>
    </row>
    <row r="287" spans="13:14">
      <c r="M287" s="86">
        <v>2.75</v>
      </c>
      <c r="N287" s="93">
        <f>ROUND(IF(Calcul1!K321&lt;$K$10,0.2*$C$10*$D$10,Calcul1!K321),5)</f>
        <v>0.06</v>
      </c>
    </row>
    <row r="288" spans="13:14">
      <c r="M288" s="86">
        <v>2.76</v>
      </c>
      <c r="N288" s="93">
        <f>ROUND(IF(Calcul1!K322&lt;$K$10,0.2*$C$10*$D$10,Calcul1!K322),5)</f>
        <v>0.06</v>
      </c>
    </row>
    <row r="289" spans="13:14">
      <c r="M289" s="86">
        <v>2.77</v>
      </c>
      <c r="N289" s="93">
        <f>ROUND(IF(Calcul1!K323&lt;$K$10,0.2*$C$10*$D$10,Calcul1!K323),5)</f>
        <v>0.06</v>
      </c>
    </row>
    <row r="290" spans="13:14">
      <c r="M290" s="86">
        <v>2.78</v>
      </c>
      <c r="N290" s="93">
        <f>ROUND(IF(Calcul1!K324&lt;$K$10,0.2*$C$10*$D$10,Calcul1!K324),5)</f>
        <v>0.06</v>
      </c>
    </row>
    <row r="291" spans="13:14">
      <c r="M291" s="86">
        <v>2.79</v>
      </c>
      <c r="N291" s="93">
        <f>ROUND(IF(Calcul1!K325&lt;$K$10,0.2*$C$10*$D$10,Calcul1!K325),5)</f>
        <v>0.06</v>
      </c>
    </row>
    <row r="292" spans="13:14">
      <c r="M292" s="86">
        <v>2.8</v>
      </c>
      <c r="N292" s="93">
        <f>ROUND(IF(Calcul1!K326&lt;$K$10,0.2*$C$10*$D$10,Calcul1!K326),5)</f>
        <v>0.06</v>
      </c>
    </row>
    <row r="293" spans="13:14">
      <c r="M293" s="86">
        <v>2.81</v>
      </c>
      <c r="N293" s="93">
        <f>ROUND(IF(Calcul1!K327&lt;$K$10,0.2*$C$10*$D$10,Calcul1!K327),5)</f>
        <v>0.06</v>
      </c>
    </row>
    <row r="294" spans="13:14">
      <c r="M294" s="86">
        <v>2.82</v>
      </c>
      <c r="N294" s="93">
        <f>ROUND(IF(Calcul1!K328&lt;$K$10,0.2*$C$10*$D$10,Calcul1!K328),5)</f>
        <v>0.06</v>
      </c>
    </row>
    <row r="295" spans="13:14">
      <c r="M295" s="86">
        <v>2.83</v>
      </c>
      <c r="N295" s="93">
        <f>ROUND(IF(Calcul1!K329&lt;$K$10,0.2*$C$10*$D$10,Calcul1!K329),5)</f>
        <v>0.06</v>
      </c>
    </row>
    <row r="296" spans="13:14">
      <c r="M296" s="86">
        <v>2.84</v>
      </c>
      <c r="N296" s="93">
        <f>ROUND(IF(Calcul1!K330&lt;$K$10,0.2*$C$10*$D$10,Calcul1!K330),5)</f>
        <v>0.06</v>
      </c>
    </row>
    <row r="297" spans="13:14">
      <c r="M297" s="86">
        <v>2.85</v>
      </c>
      <c r="N297" s="93">
        <f>ROUND(IF(Calcul1!K331&lt;$K$10,0.2*$C$10*$D$10,Calcul1!K331),5)</f>
        <v>0.06</v>
      </c>
    </row>
    <row r="298" spans="13:14">
      <c r="M298" s="86">
        <v>2.86</v>
      </c>
      <c r="N298" s="93">
        <f>ROUND(IF(Calcul1!K332&lt;$K$10,0.2*$C$10*$D$10,Calcul1!K332),5)</f>
        <v>0.06</v>
      </c>
    </row>
    <row r="299" spans="13:14">
      <c r="M299" s="86">
        <v>2.87</v>
      </c>
      <c r="N299" s="93">
        <f>ROUND(IF(Calcul1!K333&lt;$K$10,0.2*$C$10*$D$10,Calcul1!K333),5)</f>
        <v>0.06</v>
      </c>
    </row>
    <row r="300" spans="13:14">
      <c r="M300" s="86">
        <v>2.88</v>
      </c>
      <c r="N300" s="93">
        <f>ROUND(IF(Calcul1!K334&lt;$K$10,0.2*$C$10*$D$10,Calcul1!K334),5)</f>
        <v>0.06</v>
      </c>
    </row>
    <row r="301" spans="13:14">
      <c r="M301" s="86">
        <v>2.89</v>
      </c>
      <c r="N301" s="93">
        <f>ROUND(IF(Calcul1!K335&lt;$K$10,0.2*$C$10*$D$10,Calcul1!K335),5)</f>
        <v>0.06</v>
      </c>
    </row>
    <row r="302" spans="13:14">
      <c r="M302" s="86">
        <v>2.9</v>
      </c>
      <c r="N302" s="93">
        <f>ROUND(IF(Calcul1!K336&lt;$K$10,0.2*$C$10*$D$10,Calcul1!K336),5)</f>
        <v>0.06</v>
      </c>
    </row>
    <row r="303" spans="13:14">
      <c r="M303" s="86">
        <v>2.91</v>
      </c>
      <c r="N303" s="93">
        <f>ROUND(IF(Calcul1!K337&lt;$K$10,0.2*$C$10*$D$10,Calcul1!K337),5)</f>
        <v>0.06</v>
      </c>
    </row>
    <row r="304" spans="13:14">
      <c r="M304" s="86">
        <v>2.92</v>
      </c>
      <c r="N304" s="93">
        <f>ROUND(IF(Calcul1!K338&lt;$K$10,0.2*$C$10*$D$10,Calcul1!K338),5)</f>
        <v>0.06</v>
      </c>
    </row>
    <row r="305" spans="13:14">
      <c r="M305" s="86">
        <v>2.93</v>
      </c>
      <c r="N305" s="93">
        <f>ROUND(IF(Calcul1!K339&lt;$K$10,0.2*$C$10*$D$10,Calcul1!K339),5)</f>
        <v>0.06</v>
      </c>
    </row>
    <row r="306" spans="13:14">
      <c r="M306" s="86">
        <v>2.94</v>
      </c>
      <c r="N306" s="93">
        <f>ROUND(IF(Calcul1!K340&lt;$K$10,0.2*$C$10*$D$10,Calcul1!K340),5)</f>
        <v>0.06</v>
      </c>
    </row>
    <row r="307" spans="13:14">
      <c r="M307" s="86">
        <v>2.95</v>
      </c>
      <c r="N307" s="93">
        <f>ROUND(IF(Calcul1!K341&lt;$K$10,0.2*$C$10*$D$10,Calcul1!K341),5)</f>
        <v>0.06</v>
      </c>
    </row>
    <row r="308" spans="13:14">
      <c r="M308" s="86">
        <v>2.96</v>
      </c>
      <c r="N308" s="93">
        <f>ROUND(IF(Calcul1!K342&lt;$K$10,0.2*$C$10*$D$10,Calcul1!K342),5)</f>
        <v>0.06</v>
      </c>
    </row>
    <row r="309" spans="13:14">
      <c r="M309" s="86">
        <v>2.97</v>
      </c>
      <c r="N309" s="93">
        <f>ROUND(IF(Calcul1!K343&lt;$K$10,0.2*$C$10*$D$10,Calcul1!K343),5)</f>
        <v>0.06</v>
      </c>
    </row>
    <row r="310" spans="13:14">
      <c r="M310" s="86">
        <v>2.98</v>
      </c>
      <c r="N310" s="93">
        <f>ROUND(IF(Calcul1!K344&lt;$K$10,0.2*$C$10*$D$10,Calcul1!K344),5)</f>
        <v>0.06</v>
      </c>
    </row>
    <row r="311" spans="13:14">
      <c r="M311" s="86">
        <v>2.99</v>
      </c>
      <c r="N311" s="93">
        <f>ROUND(IF(Calcul1!K345&lt;$K$10,0.2*$C$10*$D$10,Calcul1!K345),5)</f>
        <v>0.06</v>
      </c>
    </row>
    <row r="312" spans="13:14">
      <c r="M312" s="86">
        <v>3</v>
      </c>
      <c r="N312" s="93">
        <f>ROUND(IF(Calcul1!K346&lt;$K$10,0.2*$C$10*$D$10,Calcul1!K346),5)</f>
        <v>0.06</v>
      </c>
    </row>
    <row r="313" spans="13:14">
      <c r="M313" s="86">
        <v>3.01</v>
      </c>
      <c r="N313" s="93">
        <f>ROUND(IF(Calcul1!K347&lt;$K$10,0.2*$C$10*$D$10,Calcul1!K347),5)</f>
        <v>0.06</v>
      </c>
    </row>
    <row r="314" spans="13:14">
      <c r="M314" s="86">
        <v>3.02</v>
      </c>
      <c r="N314" s="93">
        <f>ROUND(IF(Calcul1!K348&lt;$K$10,0.2*$C$10*$D$10,Calcul1!K348),5)</f>
        <v>0.06</v>
      </c>
    </row>
    <row r="315" spans="13:14">
      <c r="M315" s="86">
        <v>3.03</v>
      </c>
      <c r="N315" s="93">
        <f>ROUND(IF(Calcul1!K349&lt;$K$10,0.2*$C$10*$D$10,Calcul1!K349),5)</f>
        <v>0.06</v>
      </c>
    </row>
    <row r="316" spans="13:14">
      <c r="M316" s="86">
        <v>3.04</v>
      </c>
      <c r="N316" s="93">
        <f>ROUND(IF(Calcul1!K350&lt;$K$10,0.2*$C$10*$D$10,Calcul1!K350),5)</f>
        <v>0.06</v>
      </c>
    </row>
    <row r="317" spans="13:14">
      <c r="M317" s="86">
        <v>3.05</v>
      </c>
      <c r="N317" s="93">
        <f>ROUND(IF(Calcul1!K351&lt;$K$10,0.2*$C$10*$D$10,Calcul1!K351),5)</f>
        <v>0.06</v>
      </c>
    </row>
    <row r="318" spans="13:14">
      <c r="M318" s="86">
        <v>3.06</v>
      </c>
      <c r="N318" s="93">
        <f>ROUND(IF(Calcul1!K352&lt;$K$10,0.2*$C$10*$D$10,Calcul1!K352),5)</f>
        <v>0.06</v>
      </c>
    </row>
    <row r="319" spans="13:14">
      <c r="M319" s="86">
        <v>3.07</v>
      </c>
      <c r="N319" s="93">
        <f>ROUND(IF(Calcul1!K353&lt;$K$10,0.2*$C$10*$D$10,Calcul1!K353),5)</f>
        <v>0.06</v>
      </c>
    </row>
    <row r="320" spans="13:14">
      <c r="M320" s="86">
        <v>3.08</v>
      </c>
      <c r="N320" s="93">
        <f>ROUND(IF(Calcul1!K354&lt;$K$10,0.2*$C$10*$D$10,Calcul1!K354),5)</f>
        <v>0.06</v>
      </c>
    </row>
    <row r="321" spans="13:14">
      <c r="M321" s="86">
        <v>3.09</v>
      </c>
      <c r="N321" s="93">
        <f>ROUND(IF(Calcul1!K355&lt;$K$10,0.2*$C$10*$D$10,Calcul1!K355),5)</f>
        <v>0.06</v>
      </c>
    </row>
    <row r="322" spans="13:14">
      <c r="M322" s="86">
        <v>3.1</v>
      </c>
      <c r="N322" s="93">
        <f>ROUND(IF(Calcul1!K356&lt;$K$10,0.2*$C$10*$D$10,Calcul1!K356),5)</f>
        <v>0.06</v>
      </c>
    </row>
    <row r="323" spans="13:14">
      <c r="M323" s="86">
        <v>3.11</v>
      </c>
      <c r="N323" s="93">
        <f>ROUND(IF(Calcul1!K357&lt;$K$10,0.2*$C$10*$D$10,Calcul1!K357),5)</f>
        <v>0.06</v>
      </c>
    </row>
    <row r="324" spans="13:14">
      <c r="M324" s="86">
        <v>3.12</v>
      </c>
      <c r="N324" s="93">
        <f>ROUND(IF(Calcul1!K358&lt;$K$10,0.2*$C$10*$D$10,Calcul1!K358),5)</f>
        <v>0.06</v>
      </c>
    </row>
    <row r="325" spans="13:14">
      <c r="M325" s="86">
        <v>3.13</v>
      </c>
      <c r="N325" s="93">
        <f>ROUND(IF(Calcul1!K359&lt;$K$10,0.2*$C$10*$D$10,Calcul1!K359),5)</f>
        <v>0.06</v>
      </c>
    </row>
    <row r="326" spans="13:14">
      <c r="M326" s="86">
        <v>3.14</v>
      </c>
      <c r="N326" s="93">
        <f>ROUND(IF(Calcul1!K360&lt;$K$10,0.2*$C$10*$D$10,Calcul1!K360),5)</f>
        <v>0.06</v>
      </c>
    </row>
    <row r="327" spans="13:14">
      <c r="M327" s="86">
        <v>3.15</v>
      </c>
      <c r="N327" s="93">
        <f>ROUND(IF(Calcul1!K361&lt;$K$10,0.2*$C$10*$D$10,Calcul1!K361),5)</f>
        <v>0.06</v>
      </c>
    </row>
    <row r="328" spans="13:14">
      <c r="M328" s="86">
        <v>3.16</v>
      </c>
      <c r="N328" s="93">
        <f>ROUND(IF(Calcul1!K362&lt;$K$10,0.2*$C$10*$D$10,Calcul1!K362),5)</f>
        <v>0.06</v>
      </c>
    </row>
    <row r="329" spans="13:14">
      <c r="M329" s="86">
        <v>3.17</v>
      </c>
      <c r="N329" s="93">
        <f>ROUND(IF(Calcul1!K363&lt;$K$10,0.2*$C$10*$D$10,Calcul1!K363),5)</f>
        <v>0.06</v>
      </c>
    </row>
    <row r="330" spans="13:14">
      <c r="M330" s="86">
        <v>3.18</v>
      </c>
      <c r="N330" s="93">
        <f>ROUND(IF(Calcul1!K364&lt;$K$10,0.2*$C$10*$D$10,Calcul1!K364),5)</f>
        <v>0.06</v>
      </c>
    </row>
    <row r="331" spans="13:14">
      <c r="M331" s="86">
        <v>3.19</v>
      </c>
      <c r="N331" s="93">
        <f>ROUND(IF(Calcul1!K365&lt;$K$10,0.2*$C$10*$D$10,Calcul1!K365),5)</f>
        <v>0.06</v>
      </c>
    </row>
    <row r="332" spans="13:14">
      <c r="M332" s="86">
        <v>3.2</v>
      </c>
      <c r="N332" s="93">
        <f>ROUND(IF(Calcul1!K366&lt;$K$10,0.2*$C$10*$D$10,Calcul1!K366),5)</f>
        <v>0.06</v>
      </c>
    </row>
    <row r="333" spans="13:14">
      <c r="M333" s="86">
        <v>3.21</v>
      </c>
      <c r="N333" s="93">
        <f>ROUND(IF(Calcul1!K367&lt;$K$10,0.2*$C$10*$D$10,Calcul1!K367),5)</f>
        <v>0.06</v>
      </c>
    </row>
    <row r="334" spans="13:14">
      <c r="M334" s="86">
        <v>3.22</v>
      </c>
      <c r="N334" s="93">
        <f>ROUND(IF(Calcul1!K368&lt;$K$10,0.2*$C$10*$D$10,Calcul1!K368),5)</f>
        <v>0.06</v>
      </c>
    </row>
    <row r="335" spans="13:14">
      <c r="M335" s="86">
        <v>3.23</v>
      </c>
      <c r="N335" s="93">
        <f>ROUND(IF(Calcul1!K369&lt;$K$10,0.2*$C$10*$D$10,Calcul1!K369),5)</f>
        <v>0.06</v>
      </c>
    </row>
    <row r="336" spans="13:14">
      <c r="M336" s="86">
        <v>3.24</v>
      </c>
      <c r="N336" s="93">
        <f>ROUND(IF(Calcul1!K370&lt;$K$10,0.2*$C$10*$D$10,Calcul1!K370),5)</f>
        <v>0.06</v>
      </c>
    </row>
    <row r="337" spans="13:14">
      <c r="M337" s="86">
        <v>3.25</v>
      </c>
      <c r="N337" s="93">
        <f>ROUND(IF(Calcul1!K371&lt;$K$10,0.2*$C$10*$D$10,Calcul1!K371),5)</f>
        <v>0.06</v>
      </c>
    </row>
    <row r="338" spans="13:14">
      <c r="M338" s="86">
        <v>3.26</v>
      </c>
      <c r="N338" s="93">
        <f>ROUND(IF(Calcul1!K372&lt;$K$10,0.2*$C$10*$D$10,Calcul1!K372),5)</f>
        <v>0.06</v>
      </c>
    </row>
    <row r="339" spans="13:14">
      <c r="M339" s="86">
        <v>3.27</v>
      </c>
      <c r="N339" s="93">
        <f>ROUND(IF(Calcul1!K373&lt;$K$10,0.2*$C$10*$D$10,Calcul1!K373),5)</f>
        <v>0.06</v>
      </c>
    </row>
    <row r="340" spans="13:14">
      <c r="M340" s="86">
        <v>3.28</v>
      </c>
      <c r="N340" s="93">
        <f>ROUND(IF(Calcul1!K374&lt;$K$10,0.2*$C$10*$D$10,Calcul1!K374),5)</f>
        <v>0.06</v>
      </c>
    </row>
    <row r="341" spans="13:14">
      <c r="M341" s="86">
        <v>3.29</v>
      </c>
      <c r="N341" s="93">
        <f>ROUND(IF(Calcul1!K375&lt;$K$10,0.2*$C$10*$D$10,Calcul1!K375),5)</f>
        <v>0.06</v>
      </c>
    </row>
    <row r="342" spans="13:14">
      <c r="M342" s="86">
        <v>3.3</v>
      </c>
      <c r="N342" s="93">
        <f>ROUND(IF(Calcul1!K376&lt;$K$10,0.2*$C$10*$D$10,Calcul1!K376),5)</f>
        <v>0.06</v>
      </c>
    </row>
    <row r="343" spans="13:14">
      <c r="M343" s="86">
        <v>3.31</v>
      </c>
      <c r="N343" s="93">
        <f>ROUND(IF(Calcul1!K377&lt;$K$10,0.2*$C$10*$D$10,Calcul1!K377),5)</f>
        <v>0.06</v>
      </c>
    </row>
    <row r="344" spans="13:14">
      <c r="M344" s="86">
        <v>3.32</v>
      </c>
      <c r="N344" s="93">
        <f>ROUND(IF(Calcul1!K378&lt;$K$10,0.2*$C$10*$D$10,Calcul1!K378),5)</f>
        <v>0.06</v>
      </c>
    </row>
    <row r="345" spans="13:14">
      <c r="M345" s="86">
        <v>3.33</v>
      </c>
      <c r="N345" s="93">
        <f>ROUND(IF(Calcul1!K379&lt;$K$10,0.2*$C$10*$D$10,Calcul1!K379),5)</f>
        <v>0.06</v>
      </c>
    </row>
    <row r="346" spans="13:14">
      <c r="M346" s="86">
        <v>3.34</v>
      </c>
      <c r="N346" s="93">
        <f>ROUND(IF(Calcul1!K380&lt;$K$10,0.2*$C$10*$D$10,Calcul1!K380),5)</f>
        <v>0.06</v>
      </c>
    </row>
    <row r="347" spans="13:14">
      <c r="M347" s="86">
        <v>3.35</v>
      </c>
      <c r="N347" s="93">
        <f>ROUND(IF(Calcul1!K381&lt;$K$10,0.2*$C$10*$D$10,Calcul1!K381),5)</f>
        <v>0.06</v>
      </c>
    </row>
    <row r="348" spans="13:14">
      <c r="M348" s="86">
        <v>3.36</v>
      </c>
      <c r="N348" s="93">
        <f>ROUND(IF(Calcul1!K382&lt;$K$10,0.2*$C$10*$D$10,Calcul1!K382),5)</f>
        <v>0.06</v>
      </c>
    </row>
    <row r="349" spans="13:14">
      <c r="M349" s="86">
        <v>3.37</v>
      </c>
      <c r="N349" s="93">
        <f>ROUND(IF(Calcul1!K383&lt;$K$10,0.2*$C$10*$D$10,Calcul1!K383),5)</f>
        <v>0.06</v>
      </c>
    </row>
    <row r="350" spans="13:14">
      <c r="M350" s="86">
        <v>3.38</v>
      </c>
      <c r="N350" s="93">
        <f>ROUND(IF(Calcul1!K384&lt;$K$10,0.2*$C$10*$D$10,Calcul1!K384),5)</f>
        <v>0.06</v>
      </c>
    </row>
    <row r="351" spans="13:14">
      <c r="M351" s="86">
        <v>3.39</v>
      </c>
      <c r="N351" s="93">
        <f>ROUND(IF(Calcul1!K385&lt;$K$10,0.2*$C$10*$D$10,Calcul1!K385),5)</f>
        <v>0.06</v>
      </c>
    </row>
    <row r="352" spans="13:14">
      <c r="M352" s="86">
        <v>3.4</v>
      </c>
      <c r="N352" s="93">
        <f>ROUND(IF(Calcul1!K386&lt;$K$10,0.2*$C$10*$D$10,Calcul1!K386),5)</f>
        <v>0.06</v>
      </c>
    </row>
    <row r="353" spans="13:14">
      <c r="M353" s="86">
        <v>3.41</v>
      </c>
      <c r="N353" s="93">
        <f>ROUND(IF(Calcul1!K387&lt;$K$10,0.2*$C$10*$D$10,Calcul1!K387),5)</f>
        <v>0.06</v>
      </c>
    </row>
    <row r="354" spans="13:14">
      <c r="M354" s="86">
        <v>3.42</v>
      </c>
      <c r="N354" s="93">
        <f>ROUND(IF(Calcul1!K388&lt;$K$10,0.2*$C$10*$D$10,Calcul1!K388),5)</f>
        <v>0.06</v>
      </c>
    </row>
    <row r="355" spans="13:14">
      <c r="M355" s="86">
        <v>3.43</v>
      </c>
      <c r="N355" s="93">
        <f>ROUND(IF(Calcul1!K389&lt;$K$10,0.2*$C$10*$D$10,Calcul1!K389),5)</f>
        <v>0.06</v>
      </c>
    </row>
    <row r="356" spans="13:14">
      <c r="M356" s="86">
        <v>3.44</v>
      </c>
      <c r="N356" s="93">
        <f>ROUND(IF(Calcul1!K390&lt;$K$10,0.2*$C$10*$D$10,Calcul1!K390),5)</f>
        <v>0.06</v>
      </c>
    </row>
    <row r="357" spans="13:14">
      <c r="M357" s="86">
        <v>3.45</v>
      </c>
      <c r="N357" s="93">
        <f>ROUND(IF(Calcul1!K391&lt;$K$10,0.2*$C$10*$D$10,Calcul1!K391),5)</f>
        <v>0.06</v>
      </c>
    </row>
    <row r="358" spans="13:14">
      <c r="M358" s="86">
        <v>3.46</v>
      </c>
      <c r="N358" s="93">
        <f>ROUND(IF(Calcul1!K392&lt;$K$10,0.2*$C$10*$D$10,Calcul1!K392),5)</f>
        <v>0.06</v>
      </c>
    </row>
    <row r="359" spans="13:14">
      <c r="M359" s="86">
        <v>3.47</v>
      </c>
      <c r="N359" s="93">
        <f>ROUND(IF(Calcul1!K393&lt;$K$10,0.2*$C$10*$D$10,Calcul1!K393),5)</f>
        <v>0.06</v>
      </c>
    </row>
    <row r="360" spans="13:14">
      <c r="M360" s="86">
        <v>3.48</v>
      </c>
      <c r="N360" s="93">
        <f>ROUND(IF(Calcul1!K394&lt;$K$10,0.2*$C$10*$D$10,Calcul1!K394),5)</f>
        <v>0.06</v>
      </c>
    </row>
    <row r="361" spans="13:14">
      <c r="M361" s="86">
        <v>3.49</v>
      </c>
      <c r="N361" s="93">
        <f>ROUND(IF(Calcul1!K395&lt;$K$10,0.2*$C$10*$D$10,Calcul1!K395),5)</f>
        <v>0.06</v>
      </c>
    </row>
    <row r="362" spans="13:14">
      <c r="M362" s="86">
        <v>3.5</v>
      </c>
      <c r="N362" s="93">
        <f>ROUND(IF(Calcul1!K396&lt;$K$10,0.2*$C$10*$D$10,Calcul1!K396),5)</f>
        <v>0.06</v>
      </c>
    </row>
    <row r="363" spans="13:14">
      <c r="M363" s="86">
        <v>3.51</v>
      </c>
      <c r="N363" s="93">
        <f>ROUND(IF(Calcul1!K397&lt;$K$10,0.2*$C$10*$D$10,Calcul1!K397),5)</f>
        <v>0.06</v>
      </c>
    </row>
    <row r="364" spans="13:14">
      <c r="M364" s="86">
        <v>3.52</v>
      </c>
      <c r="N364" s="93">
        <f>ROUND(IF(Calcul1!K398&lt;$K$10,0.2*$C$10*$D$10,Calcul1!K398),5)</f>
        <v>0.06</v>
      </c>
    </row>
    <row r="365" spans="13:14">
      <c r="M365" s="86">
        <v>3.53</v>
      </c>
      <c r="N365" s="93">
        <f>ROUND(IF(Calcul1!K399&lt;$K$10,0.2*$C$10*$D$10,Calcul1!K399),5)</f>
        <v>0.06</v>
      </c>
    </row>
    <row r="366" spans="13:14">
      <c r="M366" s="86">
        <v>3.54</v>
      </c>
      <c r="N366" s="93">
        <f>ROUND(IF(Calcul1!K400&lt;$K$10,0.2*$C$10*$D$10,Calcul1!K400),5)</f>
        <v>0.06</v>
      </c>
    </row>
    <row r="367" spans="13:14">
      <c r="M367" s="86">
        <v>3.55</v>
      </c>
      <c r="N367" s="93">
        <f>ROUND(IF(Calcul1!K401&lt;$K$10,0.2*$C$10*$D$10,Calcul1!K401),5)</f>
        <v>0.06</v>
      </c>
    </row>
    <row r="368" spans="13:14">
      <c r="M368" s="86">
        <v>3.56</v>
      </c>
      <c r="N368" s="93">
        <f>ROUND(IF(Calcul1!K402&lt;$K$10,0.2*$C$10*$D$10,Calcul1!K402),5)</f>
        <v>0.06</v>
      </c>
    </row>
    <row r="369" spans="13:14">
      <c r="M369" s="86">
        <v>3.57</v>
      </c>
      <c r="N369" s="93">
        <f>ROUND(IF(Calcul1!K403&lt;$K$10,0.2*$C$10*$D$10,Calcul1!K403),5)</f>
        <v>0.06</v>
      </c>
    </row>
    <row r="370" spans="13:14">
      <c r="M370" s="86">
        <v>3.58</v>
      </c>
      <c r="N370" s="93">
        <f>ROUND(IF(Calcul1!K404&lt;$K$10,0.2*$C$10*$D$10,Calcul1!K404),5)</f>
        <v>0.06</v>
      </c>
    </row>
    <row r="371" spans="13:14">
      <c r="M371" s="86">
        <v>3.59</v>
      </c>
      <c r="N371" s="93">
        <f>ROUND(IF(Calcul1!K405&lt;$K$10,0.2*$C$10*$D$10,Calcul1!K405),5)</f>
        <v>0.06</v>
      </c>
    </row>
    <row r="372" spans="13:14">
      <c r="M372" s="86">
        <v>3.6</v>
      </c>
      <c r="N372" s="93">
        <f>ROUND(IF(Calcul1!K406&lt;$K$10,0.2*$C$10*$D$10,Calcul1!K406),5)</f>
        <v>0.06</v>
      </c>
    </row>
    <row r="373" spans="13:14">
      <c r="M373" s="86">
        <v>3.61</v>
      </c>
      <c r="N373" s="93">
        <f>ROUND(IF(Calcul1!K407&lt;$K$10,0.2*$C$10*$D$10,Calcul1!K407),5)</f>
        <v>0.06</v>
      </c>
    </row>
    <row r="374" spans="13:14">
      <c r="M374" s="86">
        <v>3.62</v>
      </c>
      <c r="N374" s="93">
        <f>ROUND(IF(Calcul1!K408&lt;$K$10,0.2*$C$10*$D$10,Calcul1!K408),5)</f>
        <v>0.06</v>
      </c>
    </row>
    <row r="375" spans="13:14">
      <c r="M375" s="86">
        <v>3.63</v>
      </c>
      <c r="N375" s="93">
        <f>ROUND(IF(Calcul1!K409&lt;$K$10,0.2*$C$10*$D$10,Calcul1!K409),5)</f>
        <v>0.06</v>
      </c>
    </row>
    <row r="376" spans="13:14">
      <c r="M376" s="86">
        <v>3.64</v>
      </c>
      <c r="N376" s="93">
        <f>ROUND(IF(Calcul1!K410&lt;$K$10,0.2*$C$10*$D$10,Calcul1!K410),5)</f>
        <v>0.06</v>
      </c>
    </row>
    <row r="377" spans="13:14">
      <c r="M377" s="86">
        <v>3.65</v>
      </c>
      <c r="N377" s="93">
        <f>ROUND(IF(Calcul1!K411&lt;$K$10,0.2*$C$10*$D$10,Calcul1!K411),5)</f>
        <v>0.06</v>
      </c>
    </row>
    <row r="378" spans="13:14">
      <c r="M378" s="86">
        <v>3.66</v>
      </c>
      <c r="N378" s="93">
        <f>ROUND(IF(Calcul1!K412&lt;$K$10,0.2*$C$10*$D$10,Calcul1!K412),5)</f>
        <v>0.06</v>
      </c>
    </row>
    <row r="379" spans="13:14">
      <c r="M379" s="86">
        <v>3.67</v>
      </c>
      <c r="N379" s="93">
        <f>ROUND(IF(Calcul1!K413&lt;$K$10,0.2*$C$10*$D$10,Calcul1!K413),5)</f>
        <v>0.06</v>
      </c>
    </row>
    <row r="380" spans="13:14">
      <c r="M380" s="86">
        <v>3.68</v>
      </c>
      <c r="N380" s="93">
        <f>ROUND(IF(Calcul1!K414&lt;$K$10,0.2*$C$10*$D$10,Calcul1!K414),5)</f>
        <v>0.06</v>
      </c>
    </row>
    <row r="381" spans="13:14">
      <c r="M381" s="86">
        <v>3.69</v>
      </c>
      <c r="N381" s="93">
        <f>ROUND(IF(Calcul1!K415&lt;$K$10,0.2*$C$10*$D$10,Calcul1!K415),5)</f>
        <v>0.06</v>
      </c>
    </row>
    <row r="382" spans="13:14">
      <c r="M382" s="86">
        <v>3.7</v>
      </c>
      <c r="N382" s="93">
        <f>ROUND(IF(Calcul1!K416&lt;$K$10,0.2*$C$10*$D$10,Calcul1!K416),5)</f>
        <v>0.06</v>
      </c>
    </row>
    <row r="383" spans="13:14">
      <c r="M383" s="86">
        <v>3.71</v>
      </c>
      <c r="N383" s="93">
        <f>ROUND(IF(Calcul1!K417&lt;$K$10,0.2*$C$10*$D$10,Calcul1!K417),5)</f>
        <v>0.06</v>
      </c>
    </row>
    <row r="384" spans="13:14">
      <c r="M384" s="86">
        <v>3.72</v>
      </c>
      <c r="N384" s="93">
        <f>ROUND(IF(Calcul1!K418&lt;$K$10,0.2*$C$10*$D$10,Calcul1!K418),5)</f>
        <v>0.06</v>
      </c>
    </row>
    <row r="385" spans="13:14">
      <c r="M385" s="86">
        <v>3.73</v>
      </c>
      <c r="N385" s="93">
        <f>ROUND(IF(Calcul1!K419&lt;$K$10,0.2*$C$10*$D$10,Calcul1!K419),5)</f>
        <v>0.06</v>
      </c>
    </row>
    <row r="386" spans="13:14">
      <c r="M386" s="86">
        <v>3.74</v>
      </c>
      <c r="N386" s="93">
        <f>ROUND(IF(Calcul1!K420&lt;$K$10,0.2*$C$10*$D$10,Calcul1!K420),5)</f>
        <v>0.06</v>
      </c>
    </row>
    <row r="387" spans="13:14">
      <c r="M387" s="86">
        <v>3.75</v>
      </c>
      <c r="N387" s="93">
        <f>ROUND(IF(Calcul1!K421&lt;$K$10,0.2*$C$10*$D$10,Calcul1!K421),5)</f>
        <v>0.06</v>
      </c>
    </row>
    <row r="388" spans="13:14">
      <c r="M388" s="86">
        <v>3.76</v>
      </c>
      <c r="N388" s="93">
        <f>ROUND(IF(Calcul1!K422&lt;$K$10,0.2*$C$10*$D$10,Calcul1!K422),5)</f>
        <v>0.06</v>
      </c>
    </row>
    <row r="389" spans="13:14">
      <c r="M389" s="86">
        <v>3.77</v>
      </c>
      <c r="N389" s="93">
        <f>ROUND(IF(Calcul1!K423&lt;$K$10,0.2*$C$10*$D$10,Calcul1!K423),5)</f>
        <v>0.06</v>
      </c>
    </row>
    <row r="390" spans="13:14">
      <c r="M390" s="86">
        <v>3.78</v>
      </c>
      <c r="N390" s="93">
        <f>ROUND(IF(Calcul1!K424&lt;$K$10,0.2*$C$10*$D$10,Calcul1!K424),5)</f>
        <v>0.06</v>
      </c>
    </row>
    <row r="391" spans="13:14">
      <c r="M391" s="86">
        <v>3.79</v>
      </c>
      <c r="N391" s="93">
        <f>ROUND(IF(Calcul1!K425&lt;$K$10,0.2*$C$10*$D$10,Calcul1!K425),5)</f>
        <v>0.06</v>
      </c>
    </row>
    <row r="392" spans="13:14">
      <c r="M392" s="86">
        <v>3.8</v>
      </c>
      <c r="N392" s="93">
        <f>ROUND(IF(Calcul1!K426&lt;$K$10,0.2*$C$10*$D$10,Calcul1!K426),5)</f>
        <v>0.06</v>
      </c>
    </row>
    <row r="393" spans="13:14">
      <c r="M393" s="86">
        <v>3.81</v>
      </c>
      <c r="N393" s="93">
        <f>ROUND(IF(Calcul1!K427&lt;$K$10,0.2*$C$10*$D$10,Calcul1!K427),5)</f>
        <v>0.06</v>
      </c>
    </row>
    <row r="394" spans="13:14">
      <c r="M394" s="86">
        <v>3.82</v>
      </c>
      <c r="N394" s="93">
        <f>ROUND(IF(Calcul1!K428&lt;$K$10,0.2*$C$10*$D$10,Calcul1!K428),5)</f>
        <v>0.06</v>
      </c>
    </row>
    <row r="395" spans="13:14">
      <c r="M395" s="86">
        <v>3.83</v>
      </c>
      <c r="N395" s="93">
        <f>ROUND(IF(Calcul1!K429&lt;$K$10,0.2*$C$10*$D$10,Calcul1!K429),5)</f>
        <v>0.06</v>
      </c>
    </row>
    <row r="396" spans="13:14">
      <c r="M396" s="86">
        <v>3.84</v>
      </c>
      <c r="N396" s="93">
        <f>ROUND(IF(Calcul1!K430&lt;$K$10,0.2*$C$10*$D$10,Calcul1!K430),5)</f>
        <v>0.06</v>
      </c>
    </row>
    <row r="397" spans="13:14">
      <c r="M397" s="86">
        <v>3.85</v>
      </c>
      <c r="N397" s="93">
        <f>ROUND(IF(Calcul1!K431&lt;$K$10,0.2*$C$10*$D$10,Calcul1!K431),5)</f>
        <v>0.06</v>
      </c>
    </row>
    <row r="398" spans="13:14">
      <c r="M398" s="86">
        <v>3.86</v>
      </c>
      <c r="N398" s="93">
        <f>ROUND(IF(Calcul1!K432&lt;$K$10,0.2*$C$10*$D$10,Calcul1!K432),5)</f>
        <v>0.06</v>
      </c>
    </row>
    <row r="399" spans="13:14">
      <c r="M399" s="86">
        <v>3.87</v>
      </c>
      <c r="N399" s="93">
        <f>ROUND(IF(Calcul1!K433&lt;$K$10,0.2*$C$10*$D$10,Calcul1!K433),5)</f>
        <v>0.06</v>
      </c>
    </row>
    <row r="400" spans="13:14">
      <c r="M400" s="86">
        <v>3.88</v>
      </c>
      <c r="N400" s="93">
        <f>ROUND(IF(Calcul1!K434&lt;$K$10,0.2*$C$10*$D$10,Calcul1!K434),5)</f>
        <v>0.06</v>
      </c>
    </row>
    <row r="401" spans="13:14">
      <c r="M401" s="86">
        <v>3.89</v>
      </c>
      <c r="N401" s="93">
        <f>ROUND(IF(Calcul1!K435&lt;$K$10,0.2*$C$10*$D$10,Calcul1!K435),5)</f>
        <v>0.06</v>
      </c>
    </row>
    <row r="402" spans="13:14">
      <c r="M402" s="86">
        <v>3.9</v>
      </c>
      <c r="N402" s="93">
        <f>ROUND(IF(Calcul1!K436&lt;$K$10,0.2*$C$10*$D$10,Calcul1!K436),5)</f>
        <v>0.06</v>
      </c>
    </row>
    <row r="403" spans="13:14">
      <c r="M403" s="86">
        <v>3.91</v>
      </c>
      <c r="N403" s="93">
        <f>ROUND(IF(Calcul1!K437&lt;$K$10,0.2*$C$10*$D$10,Calcul1!K437),5)</f>
        <v>0.06</v>
      </c>
    </row>
    <row r="404" spans="13:14">
      <c r="M404" s="86">
        <v>3.92</v>
      </c>
      <c r="N404" s="93">
        <f>ROUND(IF(Calcul1!K438&lt;$K$10,0.2*$C$10*$D$10,Calcul1!K438),5)</f>
        <v>0.06</v>
      </c>
    </row>
    <row r="405" spans="13:14">
      <c r="M405" s="86">
        <v>3.93</v>
      </c>
      <c r="N405" s="93">
        <f>ROUND(IF(Calcul1!K439&lt;$K$10,0.2*$C$10*$D$10,Calcul1!K439),5)</f>
        <v>0.06</v>
      </c>
    </row>
    <row r="406" spans="13:14">
      <c r="M406" s="86">
        <v>3.94</v>
      </c>
      <c r="N406" s="93">
        <f>ROUND(IF(Calcul1!K440&lt;$K$10,0.2*$C$10*$D$10,Calcul1!K440),5)</f>
        <v>0.06</v>
      </c>
    </row>
    <row r="407" spans="13:14">
      <c r="M407" s="86">
        <v>3.95</v>
      </c>
      <c r="N407" s="93">
        <f>ROUND(IF(Calcul1!K441&lt;$K$10,0.2*$C$10*$D$10,Calcul1!K441),5)</f>
        <v>0.06</v>
      </c>
    </row>
    <row r="408" spans="13:14">
      <c r="M408" s="86">
        <v>3.96</v>
      </c>
      <c r="N408" s="93">
        <f>ROUND(IF(Calcul1!K442&lt;$K$10,0.2*$C$10*$D$10,Calcul1!K442),5)</f>
        <v>0.06</v>
      </c>
    </row>
    <row r="409" spans="13:14">
      <c r="M409" s="86">
        <v>3.97</v>
      </c>
      <c r="N409" s="93">
        <f>ROUND(IF(Calcul1!K443&lt;$K$10,0.2*$C$10*$D$10,Calcul1!K443),5)</f>
        <v>0.06</v>
      </c>
    </row>
    <row r="410" spans="13:14">
      <c r="M410" s="86">
        <v>3.98</v>
      </c>
      <c r="N410" s="93">
        <f>ROUND(IF(Calcul1!K444&lt;$K$10,0.2*$C$10*$D$10,Calcul1!K444),5)</f>
        <v>0.06</v>
      </c>
    </row>
    <row r="411" spans="13:14">
      <c r="M411" s="86">
        <v>3.99</v>
      </c>
      <c r="N411" s="93">
        <f>ROUND(IF(Calcul1!K445&lt;$K$10,0.2*$C$10*$D$10,Calcul1!K445),5)</f>
        <v>0.06</v>
      </c>
    </row>
    <row r="412" spans="13:14">
      <c r="M412" s="86">
        <v>4</v>
      </c>
      <c r="N412" s="93">
        <f>ROUND(IF(Calcul1!K446&lt;$K$10,0.2*$C$10*$D$10,Calcul1!K446),5)</f>
        <v>0.06</v>
      </c>
    </row>
  </sheetData>
  <mergeCells count="15">
    <mergeCell ref="C12:K29"/>
    <mergeCell ref="C2:O2"/>
    <mergeCell ref="H3:O3"/>
    <mergeCell ref="K9:L9"/>
    <mergeCell ref="K10:L10"/>
    <mergeCell ref="G7:H7"/>
    <mergeCell ref="I7:J7"/>
    <mergeCell ref="K7:L7"/>
    <mergeCell ref="C6:D6"/>
    <mergeCell ref="E6:F6"/>
    <mergeCell ref="G6:H6"/>
    <mergeCell ref="I6:J6"/>
    <mergeCell ref="K6:L6"/>
    <mergeCell ref="C7:D7"/>
    <mergeCell ref="E7:F7"/>
  </mergeCells>
  <dataValidations count="5">
    <dataValidation type="list" allowBlank="1" showInputMessage="1" showErrorMessage="1" sqref="L64">
      <formula1>"3,3,5,4,5,5,5"</formula1>
    </dataValidation>
    <dataValidation type="list" allowBlank="1" showInputMessage="1" showErrorMessage="1" sqref="D64:E64 C7:D7">
      <formula1>'CALCUL RPA'!B17:B23</formula1>
    </dataValidation>
    <dataValidation type="list" allowBlank="1" showInputMessage="1" showErrorMessage="1" sqref="F64:G64 E7:F7">
      <formula1>'CALCUL RPA'!C46:F46</formula1>
    </dataValidation>
    <dataValidation type="list" allowBlank="1" showInputMessage="1" showErrorMessage="1" sqref="H64:I64 G7:H7">
      <formula1>'CALCUL RPA'!B30:B33</formula1>
    </dataValidation>
    <dataValidation type="list" allowBlank="1" showInputMessage="1" showErrorMessage="1" sqref="K7:L7">
      <formula1>Calcul1!K36:K39</formula1>
    </dataValidation>
  </dataValidations>
  <pageMargins left="0.7" right="0.7" top="0.75" bottom="0.75" header="0.3" footer="0.3"/>
  <pageSetup paperSize="9" orientation="portrait" r:id="rId1"/>
  <ignoredErrors>
    <ignoredError sqref="K10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4">
    <tabColor rgb="FF002060"/>
  </sheetPr>
  <dimension ref="A1:AA410"/>
  <sheetViews>
    <sheetView showGridLines="0" zoomScaleNormal="100" workbookViewId="0">
      <selection activeCell="AC6" sqref="AC6"/>
    </sheetView>
  </sheetViews>
  <sheetFormatPr defaultColWidth="9.140625" defaultRowHeight="16.5"/>
  <cols>
    <col min="1" max="3" width="9.140625" style="87"/>
    <col min="4" max="11" width="10" style="87" customWidth="1"/>
    <col min="12" max="12" width="5.140625" style="87" customWidth="1"/>
    <col min="13" max="14" width="11.140625" style="87" bestFit="1" customWidth="1"/>
    <col min="15" max="15" width="8.7109375" style="87" bestFit="1" customWidth="1"/>
    <col min="16" max="16" width="11.140625" style="87" bestFit="1" customWidth="1"/>
    <col min="17" max="16384" width="9.140625" style="87"/>
  </cols>
  <sheetData>
    <row r="1" spans="1:27" ht="15.75" customHeight="1" thickBot="1">
      <c r="A1" s="83"/>
      <c r="B1" s="83"/>
      <c r="C1" s="83"/>
      <c r="D1" s="83"/>
      <c r="E1" s="83"/>
      <c r="F1" s="83"/>
      <c r="G1" s="83"/>
      <c r="H1" s="84"/>
      <c r="I1" s="84"/>
      <c r="J1" s="84"/>
      <c r="K1" s="84"/>
      <c r="L1" s="84"/>
      <c r="M1" s="84"/>
    </row>
    <row r="2" spans="1:27" ht="23.25" thickTop="1">
      <c r="A2" s="83"/>
      <c r="B2" s="83"/>
      <c r="C2" s="258" t="s">
        <v>237</v>
      </c>
      <c r="D2" s="259"/>
      <c r="E2" s="259"/>
      <c r="F2" s="259"/>
      <c r="G2" s="259"/>
      <c r="H2" s="259"/>
      <c r="I2" s="259"/>
      <c r="J2" s="259"/>
      <c r="K2" s="259"/>
      <c r="L2" s="259"/>
      <c r="M2" s="259"/>
      <c r="N2" s="259"/>
      <c r="O2" s="260"/>
      <c r="Q2" s="204"/>
      <c r="R2" s="205"/>
      <c r="S2" s="205"/>
      <c r="T2" s="205"/>
      <c r="U2" s="205"/>
      <c r="V2" s="205"/>
      <c r="W2" s="205"/>
      <c r="X2" s="205"/>
      <c r="Y2" s="205"/>
      <c r="Z2" s="205"/>
      <c r="AA2" s="206"/>
    </row>
    <row r="3" spans="1:27" ht="17.25" thickBot="1">
      <c r="A3" s="83"/>
      <c r="B3" s="83"/>
      <c r="C3" s="88" t="s">
        <v>151</v>
      </c>
      <c r="D3" s="170"/>
      <c r="E3" s="89" t="str">
        <f>'CALCUL RPA'!$D$3</f>
        <v>Vers 1.5.1</v>
      </c>
      <c r="F3" s="90"/>
      <c r="G3" s="90"/>
      <c r="H3" s="261"/>
      <c r="I3" s="261"/>
      <c r="J3" s="261"/>
      <c r="K3" s="261"/>
      <c r="L3" s="261"/>
      <c r="M3" s="261"/>
      <c r="N3" s="261"/>
      <c r="O3" s="262"/>
      <c r="Q3" s="207"/>
      <c r="R3" s="31"/>
      <c r="S3" s="31"/>
      <c r="T3" s="31"/>
      <c r="U3" s="31"/>
      <c r="V3" s="31"/>
      <c r="W3" s="31"/>
      <c r="X3" s="31"/>
      <c r="Y3" s="31"/>
      <c r="Z3" s="31"/>
      <c r="AA3" s="208"/>
    </row>
    <row r="4" spans="1:27" ht="17.25" thickTop="1">
      <c r="A4" s="83"/>
      <c r="B4" s="83"/>
      <c r="O4" s="91"/>
      <c r="Q4" s="207"/>
      <c r="R4" s="31"/>
      <c r="S4" s="31"/>
      <c r="T4" s="31"/>
      <c r="U4" s="31"/>
      <c r="V4" s="31"/>
      <c r="W4" s="31"/>
      <c r="X4" s="31"/>
      <c r="Y4" s="31"/>
      <c r="Z4" s="31"/>
      <c r="AA4" s="208"/>
    </row>
    <row r="5" spans="1:27">
      <c r="A5" s="83"/>
      <c r="B5" s="83"/>
      <c r="C5" s="84"/>
      <c r="D5" s="84"/>
      <c r="E5" s="84"/>
      <c r="F5" s="84"/>
      <c r="G5" s="84"/>
      <c r="H5" s="84"/>
      <c r="I5" s="84"/>
      <c r="J5" s="84"/>
      <c r="K5" s="84"/>
      <c r="L5" s="84"/>
      <c r="O5" s="91"/>
      <c r="Q5" s="207"/>
      <c r="R5" s="31"/>
      <c r="S5" s="31"/>
      <c r="T5" s="31"/>
      <c r="U5" s="31"/>
      <c r="V5" s="31"/>
      <c r="W5" s="31"/>
      <c r="X5" s="31"/>
      <c r="Y5" s="31"/>
      <c r="Z5" s="31"/>
      <c r="AA5" s="208"/>
    </row>
    <row r="6" spans="1:27">
      <c r="A6" s="83"/>
      <c r="B6" s="83"/>
      <c r="O6" s="91"/>
      <c r="Q6" s="207"/>
      <c r="R6" s="31"/>
      <c r="S6" s="31"/>
      <c r="T6" s="31"/>
      <c r="U6" s="31"/>
      <c r="V6" s="31"/>
      <c r="W6" s="31"/>
      <c r="X6" s="31"/>
      <c r="Y6" s="31"/>
      <c r="Z6" s="31"/>
      <c r="AA6" s="208"/>
    </row>
    <row r="7" spans="1:27">
      <c r="A7" s="84"/>
      <c r="B7" s="84"/>
      <c r="C7" s="85" t="s">
        <v>15</v>
      </c>
      <c r="D7" s="85" t="s">
        <v>233</v>
      </c>
      <c r="E7" s="85" t="s">
        <v>7</v>
      </c>
      <c r="F7" s="85" t="s">
        <v>2</v>
      </c>
      <c r="G7" s="85" t="s">
        <v>18</v>
      </c>
      <c r="H7" s="85" t="s">
        <v>19</v>
      </c>
      <c r="I7" s="85" t="s">
        <v>36</v>
      </c>
      <c r="J7" s="85" t="s">
        <v>235</v>
      </c>
      <c r="K7" s="263" t="s">
        <v>236</v>
      </c>
      <c r="L7" s="263"/>
      <c r="O7" s="91"/>
      <c r="Q7" s="207"/>
      <c r="R7" s="31"/>
      <c r="S7" s="31"/>
      <c r="T7" s="31"/>
      <c r="U7" s="31"/>
      <c r="V7" s="31"/>
      <c r="W7" s="31"/>
      <c r="X7" s="31"/>
      <c r="Y7" s="31"/>
      <c r="Z7" s="31"/>
      <c r="AA7" s="208"/>
    </row>
    <row r="8" spans="1:27">
      <c r="A8" s="84"/>
      <c r="B8" s="84"/>
      <c r="C8" s="86">
        <f>Calcul1!$G$10</f>
        <v>0.25</v>
      </c>
      <c r="D8" s="86">
        <f>Calcul1!N44</f>
        <v>0.22500000000000001</v>
      </c>
      <c r="E8" s="86">
        <f>Calcul1!O44</f>
        <v>1.2</v>
      </c>
      <c r="F8" s="86">
        <f>Calcul1!P44</f>
        <v>4.5</v>
      </c>
      <c r="G8" s="86">
        <f>Calcul1!Q44</f>
        <v>0.05</v>
      </c>
      <c r="H8" s="86">
        <f>Calcul1!R44</f>
        <v>0.4</v>
      </c>
      <c r="I8" s="86">
        <f>Calcul1!S44</f>
        <v>1</v>
      </c>
      <c r="J8" s="86">
        <f>Calcul1!T44</f>
        <v>0.6</v>
      </c>
      <c r="K8" s="264">
        <f>0.2*D8*E8</f>
        <v>5.4000000000000006E-2</v>
      </c>
      <c r="L8" s="264"/>
      <c r="O8" s="91"/>
      <c r="Q8" s="207"/>
      <c r="R8" s="31"/>
      <c r="S8" s="31"/>
      <c r="T8" s="31"/>
      <c r="U8" s="31"/>
      <c r="V8" s="31"/>
      <c r="W8" s="31"/>
      <c r="X8" s="31"/>
      <c r="Y8" s="31"/>
      <c r="Z8" s="31"/>
      <c r="AA8" s="208"/>
    </row>
    <row r="9" spans="1:27" ht="17.25" thickBot="1">
      <c r="A9" s="84"/>
      <c r="B9" s="84"/>
      <c r="C9" s="230"/>
      <c r="D9" s="230"/>
      <c r="E9" s="139"/>
      <c r="F9" s="139"/>
      <c r="G9" s="139"/>
      <c r="H9" s="139"/>
      <c r="I9" s="139"/>
      <c r="J9" s="230"/>
      <c r="K9" s="230"/>
      <c r="L9" s="141"/>
      <c r="M9" s="85" t="s">
        <v>41</v>
      </c>
      <c r="N9" s="85" t="s">
        <v>129</v>
      </c>
      <c r="O9" s="91"/>
      <c r="Q9" s="207"/>
      <c r="R9" s="31"/>
      <c r="S9" s="31"/>
      <c r="T9" s="31"/>
      <c r="U9" s="31"/>
      <c r="V9" s="31"/>
      <c r="W9" s="31"/>
      <c r="X9" s="31"/>
      <c r="Y9" s="31"/>
      <c r="Z9" s="31"/>
      <c r="AA9" s="208"/>
    </row>
    <row r="10" spans="1:27">
      <c r="C10" s="249"/>
      <c r="D10" s="250"/>
      <c r="E10" s="250"/>
      <c r="F10" s="250"/>
      <c r="G10" s="250"/>
      <c r="H10" s="250"/>
      <c r="I10" s="250"/>
      <c r="J10" s="250"/>
      <c r="K10" s="251"/>
      <c r="L10" s="141"/>
      <c r="M10" s="86">
        <v>0</v>
      </c>
      <c r="N10" s="93">
        <f>ROUND(IF(Calcul1!V46&lt;$K$8,$K$8,Calcul1!V46),5)</f>
        <v>0.18</v>
      </c>
      <c r="Q10" s="207"/>
      <c r="R10" s="31"/>
      <c r="S10" s="31"/>
      <c r="T10" s="31"/>
      <c r="U10" s="31"/>
      <c r="V10" s="31"/>
      <c r="W10" s="31"/>
      <c r="X10" s="31"/>
      <c r="Y10" s="31"/>
      <c r="Z10" s="31"/>
      <c r="AA10" s="208"/>
    </row>
    <row r="11" spans="1:27">
      <c r="C11" s="252"/>
      <c r="D11" s="253"/>
      <c r="E11" s="253"/>
      <c r="F11" s="253"/>
      <c r="G11" s="253"/>
      <c r="H11" s="253"/>
      <c r="I11" s="253"/>
      <c r="J11" s="253"/>
      <c r="K11" s="254"/>
      <c r="L11" s="141"/>
      <c r="M11" s="86">
        <v>0.01</v>
      </c>
      <c r="N11" s="93">
        <f>ROUND(IF(Calcul1!V47&lt;$K$8,$K$8,Calcul1!V47),5)</f>
        <v>0.17399999999999999</v>
      </c>
      <c r="Q11" s="207"/>
      <c r="R11" s="31"/>
      <c r="S11" s="31"/>
      <c r="T11" s="31"/>
      <c r="U11" s="31"/>
      <c r="V11" s="31"/>
      <c r="W11" s="31"/>
      <c r="X11" s="31"/>
      <c r="Y11" s="31"/>
      <c r="Z11" s="31"/>
      <c r="AA11" s="208"/>
    </row>
    <row r="12" spans="1:27">
      <c r="C12" s="252"/>
      <c r="D12" s="253"/>
      <c r="E12" s="253"/>
      <c r="F12" s="253"/>
      <c r="G12" s="253"/>
      <c r="H12" s="253"/>
      <c r="I12" s="253"/>
      <c r="J12" s="253"/>
      <c r="K12" s="254"/>
      <c r="L12" s="141"/>
      <c r="M12" s="86">
        <v>0.02</v>
      </c>
      <c r="N12" s="93">
        <f>ROUND(IF(Calcul1!V48&lt;$K$8,$K$8,Calcul1!V48),5)</f>
        <v>0.16800000000000001</v>
      </c>
      <c r="Q12" s="207"/>
      <c r="R12" s="31"/>
      <c r="S12" s="31"/>
      <c r="T12" s="31"/>
      <c r="U12" s="31"/>
      <c r="V12" s="31"/>
      <c r="W12" s="31"/>
      <c r="X12" s="31"/>
      <c r="Y12" s="31"/>
      <c r="Z12" s="31"/>
      <c r="AA12" s="208"/>
    </row>
    <row r="13" spans="1:27">
      <c r="C13" s="252"/>
      <c r="D13" s="253"/>
      <c r="E13" s="253"/>
      <c r="F13" s="253"/>
      <c r="G13" s="253"/>
      <c r="H13" s="253"/>
      <c r="I13" s="253"/>
      <c r="J13" s="253"/>
      <c r="K13" s="254"/>
      <c r="L13" s="141"/>
      <c r="M13" s="86">
        <v>0.03</v>
      </c>
      <c r="N13" s="93">
        <f>ROUND(IF(Calcul1!V49&lt;$K$8,$K$8,Calcul1!V49),5)</f>
        <v>0.16200000000000001</v>
      </c>
      <c r="Q13" s="207"/>
      <c r="R13" s="31"/>
      <c r="S13" s="31"/>
      <c r="T13" s="31"/>
      <c r="U13" s="31"/>
      <c r="V13" s="31"/>
      <c r="W13" s="31"/>
      <c r="X13" s="31"/>
      <c r="Y13" s="31"/>
      <c r="Z13" s="31"/>
      <c r="AA13" s="208"/>
    </row>
    <row r="14" spans="1:27">
      <c r="C14" s="252"/>
      <c r="D14" s="253"/>
      <c r="E14" s="253"/>
      <c r="F14" s="253"/>
      <c r="G14" s="253"/>
      <c r="H14" s="253"/>
      <c r="I14" s="253"/>
      <c r="J14" s="253"/>
      <c r="K14" s="254"/>
      <c r="L14" s="141"/>
      <c r="M14" s="86">
        <v>0.04</v>
      </c>
      <c r="N14" s="93">
        <f>ROUND(IF(Calcul1!V50&lt;$K$8,$K$8,Calcul1!V50),5)</f>
        <v>0.156</v>
      </c>
      <c r="Q14" s="207"/>
      <c r="R14" s="31"/>
      <c r="S14" s="31"/>
      <c r="T14" s="31"/>
      <c r="U14" s="31"/>
      <c r="V14" s="31"/>
      <c r="W14" s="31"/>
      <c r="X14" s="31"/>
      <c r="Y14" s="31"/>
      <c r="Z14" s="31"/>
      <c r="AA14" s="208"/>
    </row>
    <row r="15" spans="1:27">
      <c r="C15" s="252"/>
      <c r="D15" s="253"/>
      <c r="E15" s="253"/>
      <c r="F15" s="253"/>
      <c r="G15" s="253"/>
      <c r="H15" s="253"/>
      <c r="I15" s="253"/>
      <c r="J15" s="253"/>
      <c r="K15" s="254"/>
      <c r="L15" s="141"/>
      <c r="M15" s="86">
        <v>0.05</v>
      </c>
      <c r="N15" s="93">
        <f>ROUND(IF(Calcul1!V51&lt;$K$8,$K$8,Calcul1!V51),5)</f>
        <v>0.15</v>
      </c>
      <c r="Q15" s="207"/>
      <c r="R15" s="31"/>
      <c r="S15" s="31"/>
      <c r="T15" s="31"/>
      <c r="U15" s="31"/>
      <c r="V15" s="31"/>
      <c r="W15" s="31"/>
      <c r="X15" s="31"/>
      <c r="Y15" s="31"/>
      <c r="Z15" s="31"/>
      <c r="AA15" s="208"/>
    </row>
    <row r="16" spans="1:27">
      <c r="C16" s="252"/>
      <c r="D16" s="253"/>
      <c r="E16" s="253"/>
      <c r="F16" s="253"/>
      <c r="G16" s="253"/>
      <c r="H16" s="253"/>
      <c r="I16" s="253"/>
      <c r="J16" s="253"/>
      <c r="K16" s="254"/>
      <c r="L16" s="141"/>
      <c r="M16" s="86">
        <v>0.06</v>
      </c>
      <c r="N16" s="93">
        <f>ROUND(IF(Calcul1!V52&lt;$K$8,$K$8,Calcul1!V52),5)</f>
        <v>0.15</v>
      </c>
      <c r="Q16" s="207"/>
      <c r="R16" s="31"/>
      <c r="S16" s="31"/>
      <c r="T16" s="31"/>
      <c r="U16" s="31"/>
      <c r="V16" s="31"/>
      <c r="W16" s="31"/>
      <c r="X16" s="31"/>
      <c r="Y16" s="31"/>
      <c r="Z16" s="31"/>
      <c r="AA16" s="208"/>
    </row>
    <row r="17" spans="3:27">
      <c r="C17" s="252"/>
      <c r="D17" s="253"/>
      <c r="E17" s="253"/>
      <c r="F17" s="253"/>
      <c r="G17" s="253"/>
      <c r="H17" s="253"/>
      <c r="I17" s="253"/>
      <c r="J17" s="253"/>
      <c r="K17" s="254"/>
      <c r="L17" s="141"/>
      <c r="M17" s="86">
        <v>7.0000000000000007E-2</v>
      </c>
      <c r="N17" s="93">
        <f>ROUND(IF(Calcul1!V53&lt;$K$8,$K$8,Calcul1!V53),5)</f>
        <v>0.15</v>
      </c>
      <c r="Q17" s="207"/>
      <c r="R17" s="31"/>
      <c r="S17" s="31"/>
      <c r="T17" s="31"/>
      <c r="U17" s="31"/>
      <c r="V17" s="31"/>
      <c r="W17" s="31"/>
      <c r="X17" s="31"/>
      <c r="Y17" s="31"/>
      <c r="Z17" s="31"/>
      <c r="AA17" s="208"/>
    </row>
    <row r="18" spans="3:27">
      <c r="C18" s="252"/>
      <c r="D18" s="253"/>
      <c r="E18" s="253"/>
      <c r="F18" s="253"/>
      <c r="G18" s="253"/>
      <c r="H18" s="253"/>
      <c r="I18" s="253"/>
      <c r="J18" s="253"/>
      <c r="K18" s="254"/>
      <c r="L18" s="141"/>
      <c r="M18" s="86">
        <v>0.08</v>
      </c>
      <c r="N18" s="93">
        <f>ROUND(IF(Calcul1!V54&lt;$K$8,$K$8,Calcul1!V54),5)</f>
        <v>0.15</v>
      </c>
      <c r="Q18" s="207"/>
      <c r="R18" s="31"/>
      <c r="S18" s="31"/>
      <c r="T18" s="31"/>
      <c r="U18" s="31"/>
      <c r="V18" s="31"/>
      <c r="W18" s="31"/>
      <c r="X18" s="31"/>
      <c r="Y18" s="31"/>
      <c r="Z18" s="31"/>
      <c r="AA18" s="208"/>
    </row>
    <row r="19" spans="3:27">
      <c r="C19" s="252"/>
      <c r="D19" s="253"/>
      <c r="E19" s="253"/>
      <c r="F19" s="253"/>
      <c r="G19" s="253"/>
      <c r="H19" s="253"/>
      <c r="I19" s="253"/>
      <c r="J19" s="253"/>
      <c r="K19" s="254"/>
      <c r="L19" s="141"/>
      <c r="M19" s="86">
        <v>0.09</v>
      </c>
      <c r="N19" s="93">
        <f>ROUND(IF(Calcul1!V55&lt;$K$8,$K$8,Calcul1!V55),5)</f>
        <v>0.15</v>
      </c>
      <c r="Q19" s="207"/>
      <c r="R19" s="31"/>
      <c r="S19" s="31"/>
      <c r="T19" s="31"/>
      <c r="U19" s="31"/>
      <c r="V19" s="31"/>
      <c r="W19" s="31"/>
      <c r="X19" s="31"/>
      <c r="Y19" s="31"/>
      <c r="Z19" s="31"/>
      <c r="AA19" s="208"/>
    </row>
    <row r="20" spans="3:27">
      <c r="C20" s="252"/>
      <c r="D20" s="253"/>
      <c r="E20" s="253"/>
      <c r="F20" s="253"/>
      <c r="G20" s="253"/>
      <c r="H20" s="253"/>
      <c r="I20" s="253"/>
      <c r="J20" s="253"/>
      <c r="K20" s="254"/>
      <c r="L20" s="141"/>
      <c r="M20" s="86">
        <v>0.1</v>
      </c>
      <c r="N20" s="93">
        <f>ROUND(IF(Calcul1!V56&lt;$K$8,$K$8,Calcul1!V56),5)</f>
        <v>0.15</v>
      </c>
      <c r="Q20" s="207"/>
      <c r="R20" s="31"/>
      <c r="S20" s="31"/>
      <c r="T20" s="31"/>
      <c r="U20" s="31"/>
      <c r="V20" s="31"/>
      <c r="W20" s="31"/>
      <c r="X20" s="31"/>
      <c r="Y20" s="31"/>
      <c r="Z20" s="31"/>
      <c r="AA20" s="208"/>
    </row>
    <row r="21" spans="3:27">
      <c r="C21" s="252"/>
      <c r="D21" s="253"/>
      <c r="E21" s="253"/>
      <c r="F21" s="253"/>
      <c r="G21" s="253"/>
      <c r="H21" s="253"/>
      <c r="I21" s="253"/>
      <c r="J21" s="253"/>
      <c r="K21" s="254"/>
      <c r="L21" s="141"/>
      <c r="M21" s="86">
        <v>0.11</v>
      </c>
      <c r="N21" s="93">
        <f>ROUND(IF(Calcul1!V57&lt;$K$8,$K$8,Calcul1!V57),5)</f>
        <v>0.15</v>
      </c>
      <c r="Q21" s="207"/>
      <c r="R21" s="31"/>
      <c r="S21" s="31"/>
      <c r="T21" s="31"/>
      <c r="U21" s="31"/>
      <c r="V21" s="31"/>
      <c r="W21" s="31"/>
      <c r="X21" s="31"/>
      <c r="Y21" s="31"/>
      <c r="Z21" s="31"/>
      <c r="AA21" s="208"/>
    </row>
    <row r="22" spans="3:27">
      <c r="C22" s="252"/>
      <c r="D22" s="253"/>
      <c r="E22" s="253"/>
      <c r="F22" s="253"/>
      <c r="G22" s="253"/>
      <c r="H22" s="253"/>
      <c r="I22" s="253"/>
      <c r="J22" s="253"/>
      <c r="K22" s="254"/>
      <c r="L22" s="141"/>
      <c r="M22" s="86">
        <v>0.12</v>
      </c>
      <c r="N22" s="93">
        <f>ROUND(IF(Calcul1!V58&lt;$K$8,$K$8,Calcul1!V58),5)</f>
        <v>0.15</v>
      </c>
      <c r="Q22" s="242"/>
      <c r="R22" s="92"/>
      <c r="S22" s="92"/>
      <c r="T22" s="92"/>
      <c r="U22" s="92"/>
      <c r="V22" s="92"/>
      <c r="W22" s="92"/>
      <c r="X22" s="92"/>
      <c r="Y22" s="92"/>
      <c r="Z22" s="92"/>
      <c r="AA22" s="243"/>
    </row>
    <row r="23" spans="3:27">
      <c r="C23" s="252"/>
      <c r="D23" s="253"/>
      <c r="E23" s="253"/>
      <c r="F23" s="253"/>
      <c r="G23" s="253"/>
      <c r="H23" s="253"/>
      <c r="I23" s="253"/>
      <c r="J23" s="253"/>
      <c r="K23" s="254"/>
      <c r="L23" s="141"/>
      <c r="M23" s="86">
        <v>0.13</v>
      </c>
      <c r="N23" s="93">
        <f>ROUND(IF(Calcul1!V59&lt;$K$8,$K$8,Calcul1!V59),5)</f>
        <v>0.15</v>
      </c>
      <c r="Q23" s="242"/>
      <c r="R23" s="92"/>
      <c r="S23" s="92"/>
      <c r="T23" s="92"/>
      <c r="U23" s="92"/>
      <c r="V23" s="92"/>
      <c r="W23" s="92"/>
      <c r="X23" s="92"/>
      <c r="Y23" s="92"/>
      <c r="Z23" s="92"/>
      <c r="AA23" s="243"/>
    </row>
    <row r="24" spans="3:27">
      <c r="C24" s="252"/>
      <c r="D24" s="253"/>
      <c r="E24" s="253"/>
      <c r="F24" s="253"/>
      <c r="G24" s="253"/>
      <c r="H24" s="253"/>
      <c r="I24" s="253"/>
      <c r="J24" s="253"/>
      <c r="K24" s="254"/>
      <c r="L24" s="141"/>
      <c r="M24" s="86">
        <v>0.14000000000000001</v>
      </c>
      <c r="N24" s="93">
        <f>ROUND(IF(Calcul1!V60&lt;$K$8,$K$8,Calcul1!V60),5)</f>
        <v>0.15</v>
      </c>
      <c r="Q24" s="242"/>
      <c r="R24" s="92"/>
      <c r="S24" s="92"/>
      <c r="T24" s="92"/>
      <c r="U24" s="92"/>
      <c r="V24" s="92"/>
      <c r="W24" s="92"/>
      <c r="X24" s="92"/>
      <c r="Y24" s="92"/>
      <c r="Z24" s="92"/>
      <c r="AA24" s="243"/>
    </row>
    <row r="25" spans="3:27">
      <c r="C25" s="252"/>
      <c r="D25" s="253"/>
      <c r="E25" s="253"/>
      <c r="F25" s="253"/>
      <c r="G25" s="253"/>
      <c r="H25" s="253"/>
      <c r="I25" s="253"/>
      <c r="J25" s="253"/>
      <c r="K25" s="254"/>
      <c r="L25" s="141"/>
      <c r="M25" s="86">
        <v>0.15</v>
      </c>
      <c r="N25" s="93">
        <f>ROUND(IF(Calcul1!V61&lt;$K$8,$K$8,Calcul1!V61),5)</f>
        <v>0.15</v>
      </c>
      <c r="Q25" s="242"/>
      <c r="R25" s="92"/>
      <c r="S25" s="92"/>
      <c r="T25" s="92"/>
      <c r="U25" s="92"/>
      <c r="V25" s="92"/>
      <c r="W25" s="92"/>
      <c r="X25" s="92"/>
      <c r="Y25" s="92"/>
      <c r="Z25" s="92"/>
      <c r="AA25" s="243"/>
    </row>
    <row r="26" spans="3:27">
      <c r="C26" s="252"/>
      <c r="D26" s="253"/>
      <c r="E26" s="253"/>
      <c r="F26" s="253"/>
      <c r="G26" s="253"/>
      <c r="H26" s="253"/>
      <c r="I26" s="253"/>
      <c r="J26" s="253"/>
      <c r="K26" s="254"/>
      <c r="L26" s="141"/>
      <c r="M26" s="86">
        <v>0.16</v>
      </c>
      <c r="N26" s="93">
        <f>ROUND(IF(Calcul1!V62&lt;$K$8,$K$8,Calcul1!V62),5)</f>
        <v>0.15</v>
      </c>
      <c r="Q26" s="242"/>
      <c r="R26" s="92"/>
      <c r="S26" s="92"/>
      <c r="T26" s="92"/>
      <c r="U26" s="92"/>
      <c r="V26" s="92"/>
      <c r="W26" s="92"/>
      <c r="X26" s="92"/>
      <c r="Y26" s="92"/>
      <c r="Z26" s="92"/>
      <c r="AA26" s="243"/>
    </row>
    <row r="27" spans="3:27" ht="17.25" thickBot="1">
      <c r="C27" s="255"/>
      <c r="D27" s="256"/>
      <c r="E27" s="256"/>
      <c r="F27" s="256"/>
      <c r="G27" s="256"/>
      <c r="H27" s="256"/>
      <c r="I27" s="256"/>
      <c r="J27" s="256"/>
      <c r="K27" s="257"/>
      <c r="L27" s="141"/>
      <c r="M27" s="86">
        <v>0.17</v>
      </c>
      <c r="N27" s="93">
        <f>ROUND(IF(Calcul1!V63&lt;$K$8,$K$8,Calcul1!V63),5)</f>
        <v>0.15</v>
      </c>
      <c r="Q27" s="242"/>
      <c r="R27" s="92"/>
      <c r="S27" s="92"/>
      <c r="T27" s="92"/>
      <c r="U27" s="92"/>
      <c r="V27" s="92"/>
      <c r="W27" s="92"/>
      <c r="X27" s="92"/>
      <c r="Y27" s="92"/>
      <c r="Z27" s="92"/>
      <c r="AA27" s="243"/>
    </row>
    <row r="28" spans="3:27"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86">
        <v>0.18</v>
      </c>
      <c r="N28" s="93">
        <f>ROUND(IF(Calcul1!V64&lt;$K$8,$K$8,Calcul1!V64),5)</f>
        <v>0.15</v>
      </c>
      <c r="Q28" s="242"/>
      <c r="R28" s="92"/>
      <c r="S28" s="92"/>
      <c r="T28" s="92"/>
      <c r="U28" s="92"/>
      <c r="V28" s="92"/>
      <c r="W28" s="92"/>
      <c r="X28" s="92"/>
      <c r="Y28" s="92"/>
      <c r="Z28" s="92"/>
      <c r="AA28" s="243"/>
    </row>
    <row r="29" spans="3:27"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86">
        <v>0.19</v>
      </c>
      <c r="N29" s="93">
        <f>ROUND(IF(Calcul1!V65&lt;$K$8,$K$8,Calcul1!V65),5)</f>
        <v>0.15</v>
      </c>
      <c r="Q29" s="242"/>
      <c r="R29" s="92"/>
      <c r="S29" s="92"/>
      <c r="T29" s="92"/>
      <c r="U29" s="92"/>
      <c r="V29" s="92"/>
      <c r="W29" s="92"/>
      <c r="X29" s="92"/>
      <c r="Y29" s="92"/>
      <c r="Z29" s="92"/>
      <c r="AA29" s="243"/>
    </row>
    <row r="30" spans="3:27">
      <c r="M30" s="86">
        <v>0.2</v>
      </c>
      <c r="N30" s="93">
        <f>ROUND(IF(Calcul1!V66&lt;$K$8,$K$8,Calcul1!V66),5)</f>
        <v>0.15</v>
      </c>
      <c r="Q30" s="242"/>
      <c r="R30" s="92"/>
      <c r="S30" s="92"/>
      <c r="T30" s="92"/>
      <c r="U30" s="92"/>
      <c r="V30" s="92"/>
      <c r="W30" s="92"/>
      <c r="X30" s="92"/>
      <c r="Y30" s="92"/>
      <c r="Z30" s="92"/>
      <c r="AA30" s="243"/>
    </row>
    <row r="31" spans="3:27">
      <c r="M31" s="86">
        <v>0.21</v>
      </c>
      <c r="N31" s="93">
        <f>ROUND(IF(Calcul1!V67&lt;$K$8,$K$8,Calcul1!V67),5)</f>
        <v>0.15</v>
      </c>
      <c r="Q31" s="242"/>
      <c r="R31" s="92"/>
      <c r="S31" s="92"/>
      <c r="T31" s="92"/>
      <c r="U31" s="92"/>
      <c r="V31" s="92"/>
      <c r="W31" s="92"/>
      <c r="X31" s="92"/>
      <c r="Y31" s="92"/>
      <c r="Z31" s="92"/>
      <c r="AA31" s="243"/>
    </row>
    <row r="32" spans="3:27">
      <c r="M32" s="86">
        <v>0.22</v>
      </c>
      <c r="N32" s="93">
        <f>ROUND(IF(Calcul1!V68&lt;$K$8,$K$8,Calcul1!V68),5)</f>
        <v>0.15</v>
      </c>
      <c r="Q32" s="242"/>
      <c r="R32" s="92"/>
      <c r="S32" s="92"/>
      <c r="T32" s="92"/>
      <c r="U32" s="92"/>
      <c r="V32" s="92"/>
      <c r="W32" s="92"/>
      <c r="X32" s="92"/>
      <c r="Y32" s="92"/>
      <c r="Z32" s="92"/>
      <c r="AA32" s="243"/>
    </row>
    <row r="33" spans="13:27">
      <c r="M33" s="86">
        <v>0.23</v>
      </c>
      <c r="N33" s="93">
        <f>ROUND(IF(Calcul1!V69&lt;$K$8,$K$8,Calcul1!V69),5)</f>
        <v>0.15</v>
      </c>
      <c r="Q33" s="242"/>
      <c r="R33" s="92"/>
      <c r="S33" s="92"/>
      <c r="T33" s="92"/>
      <c r="U33" s="92"/>
      <c r="V33" s="92"/>
      <c r="W33" s="92"/>
      <c r="X33" s="92"/>
      <c r="Y33" s="92"/>
      <c r="Z33" s="92"/>
      <c r="AA33" s="243"/>
    </row>
    <row r="34" spans="13:27">
      <c r="M34" s="86">
        <v>0.24</v>
      </c>
      <c r="N34" s="93">
        <f>ROUND(IF(Calcul1!V70&lt;$K$8,$K$8,Calcul1!V70),5)</f>
        <v>0.15</v>
      </c>
      <c r="Q34" s="242"/>
      <c r="R34" s="92"/>
      <c r="S34" s="92"/>
      <c r="T34" s="92"/>
      <c r="U34" s="92"/>
      <c r="V34" s="92"/>
      <c r="W34" s="92"/>
      <c r="X34" s="92"/>
      <c r="Y34" s="92"/>
      <c r="Z34" s="92"/>
      <c r="AA34" s="243"/>
    </row>
    <row r="35" spans="13:27">
      <c r="M35" s="86">
        <v>0.25</v>
      </c>
      <c r="N35" s="93">
        <f>ROUND(IF(Calcul1!V71&lt;$K$8,$K$8,Calcul1!V71),5)</f>
        <v>0.15</v>
      </c>
      <c r="Q35" s="242"/>
      <c r="R35" s="92"/>
      <c r="S35" s="92"/>
      <c r="T35" s="92"/>
      <c r="U35" s="92"/>
      <c r="V35" s="92"/>
      <c r="W35" s="92"/>
      <c r="X35" s="92"/>
      <c r="Y35" s="92"/>
      <c r="Z35" s="92"/>
      <c r="AA35" s="243"/>
    </row>
    <row r="36" spans="13:27">
      <c r="M36" s="86">
        <v>0.26</v>
      </c>
      <c r="N36" s="93">
        <f>ROUND(IF(Calcul1!V72&lt;$K$8,$K$8,Calcul1!V72),5)</f>
        <v>0.15</v>
      </c>
      <c r="Q36" s="242"/>
      <c r="R36" s="92"/>
      <c r="S36" s="92"/>
      <c r="T36" s="92"/>
      <c r="U36" s="92"/>
      <c r="V36" s="92"/>
      <c r="W36" s="92"/>
      <c r="X36" s="92"/>
      <c r="Y36" s="92"/>
      <c r="Z36" s="92"/>
      <c r="AA36" s="243"/>
    </row>
    <row r="37" spans="13:27">
      <c r="M37" s="86">
        <v>0.27</v>
      </c>
      <c r="N37" s="93">
        <f>ROUND(IF(Calcul1!V73&lt;$K$8,$K$8,Calcul1!V73),5)</f>
        <v>0.15</v>
      </c>
      <c r="Q37" s="242"/>
      <c r="R37" s="92"/>
      <c r="S37" s="92"/>
      <c r="T37" s="92"/>
      <c r="U37" s="92"/>
      <c r="V37" s="92"/>
      <c r="W37" s="92"/>
      <c r="X37" s="92"/>
      <c r="Y37" s="92"/>
      <c r="Z37" s="92"/>
      <c r="AA37" s="243"/>
    </row>
    <row r="38" spans="13:27">
      <c r="M38" s="86">
        <v>0.28000000000000003</v>
      </c>
      <c r="N38" s="93">
        <f>ROUND(IF(Calcul1!V74&lt;$K$8,$K$8,Calcul1!V74),5)</f>
        <v>0.15</v>
      </c>
      <c r="Q38" s="242"/>
      <c r="R38" s="92"/>
      <c r="S38" s="92"/>
      <c r="T38" s="92"/>
      <c r="U38" s="92"/>
      <c r="V38" s="92"/>
      <c r="W38" s="92"/>
      <c r="X38" s="92"/>
      <c r="Y38" s="92"/>
      <c r="Z38" s="92"/>
      <c r="AA38" s="243"/>
    </row>
    <row r="39" spans="13:27">
      <c r="M39" s="86">
        <v>0.28999999999999998</v>
      </c>
      <c r="N39" s="93">
        <f>ROUND(IF(Calcul1!V75&lt;$K$8,$K$8,Calcul1!V75),5)</f>
        <v>0.15</v>
      </c>
      <c r="Q39" s="242"/>
      <c r="R39" s="92"/>
      <c r="S39" s="92"/>
      <c r="T39" s="92"/>
      <c r="U39" s="92"/>
      <c r="V39" s="92"/>
      <c r="W39" s="92"/>
      <c r="X39" s="92"/>
      <c r="Y39" s="92"/>
      <c r="Z39" s="92"/>
      <c r="AA39" s="243"/>
    </row>
    <row r="40" spans="13:27">
      <c r="M40" s="86">
        <v>0.3</v>
      </c>
      <c r="N40" s="93">
        <f>ROUND(IF(Calcul1!V76&lt;$K$8,$K$8,Calcul1!V76),5)</f>
        <v>0.15</v>
      </c>
      <c r="Q40" s="242"/>
      <c r="R40" s="92"/>
      <c r="S40" s="92"/>
      <c r="T40" s="92"/>
      <c r="U40" s="92"/>
      <c r="V40" s="92"/>
      <c r="W40" s="92"/>
      <c r="X40" s="92"/>
      <c r="Y40" s="92"/>
      <c r="Z40" s="92"/>
      <c r="AA40" s="243"/>
    </row>
    <row r="41" spans="13:27" ht="17.25" thickBot="1">
      <c r="M41" s="86">
        <v>0.31</v>
      </c>
      <c r="N41" s="93">
        <f>ROUND(IF(Calcul1!V77&lt;$K$8,$K$8,Calcul1!V77),5)</f>
        <v>0.15</v>
      </c>
      <c r="Q41" s="231"/>
      <c r="R41" s="232"/>
      <c r="S41" s="232"/>
      <c r="T41" s="232"/>
      <c r="U41" s="232"/>
      <c r="V41" s="232"/>
      <c r="W41" s="232"/>
      <c r="X41" s="232"/>
      <c r="Y41" s="232"/>
      <c r="Z41" s="232"/>
      <c r="AA41" s="233"/>
    </row>
    <row r="42" spans="13:27">
      <c r="M42" s="86">
        <v>0.32</v>
      </c>
      <c r="N42" s="93">
        <f>ROUND(IF(Calcul1!V78&lt;$K$8,$K$8,Calcul1!V78),5)</f>
        <v>0.15</v>
      </c>
    </row>
    <row r="43" spans="13:27">
      <c r="M43" s="86">
        <v>0.33</v>
      </c>
      <c r="N43" s="93">
        <f>ROUND(IF(Calcul1!V79&lt;$K$8,$K$8,Calcul1!V79),5)</f>
        <v>0.15</v>
      </c>
    </row>
    <row r="44" spans="13:27">
      <c r="M44" s="86">
        <v>0.34</v>
      </c>
      <c r="N44" s="93">
        <f>ROUND(IF(Calcul1!V80&lt;$K$8,$K$8,Calcul1!V80),5)</f>
        <v>0.15</v>
      </c>
    </row>
    <row r="45" spans="13:27">
      <c r="M45" s="86">
        <v>0.35</v>
      </c>
      <c r="N45" s="93">
        <f>ROUND(IF(Calcul1!V81&lt;$K$8,$K$8,Calcul1!V81),5)</f>
        <v>0.15</v>
      </c>
    </row>
    <row r="46" spans="13:27">
      <c r="M46" s="86">
        <v>0.36</v>
      </c>
      <c r="N46" s="93">
        <f>ROUND(IF(Calcul1!V82&lt;$K$8,$K$8,Calcul1!V82),5)</f>
        <v>0.15</v>
      </c>
    </row>
    <row r="47" spans="13:27">
      <c r="M47" s="86">
        <v>0.37</v>
      </c>
      <c r="N47" s="93">
        <f>ROUND(IF(Calcul1!V83&lt;$K$8,$K$8,Calcul1!V83),5)</f>
        <v>0.15</v>
      </c>
    </row>
    <row r="48" spans="13:27">
      <c r="M48" s="86">
        <v>0.38</v>
      </c>
      <c r="N48" s="93">
        <f>ROUND(IF(Calcul1!V84&lt;$K$8,$K$8,Calcul1!V84),5)</f>
        <v>0.15</v>
      </c>
    </row>
    <row r="49" spans="13:14">
      <c r="M49" s="86">
        <v>0.39</v>
      </c>
      <c r="N49" s="93">
        <f>ROUND(IF(Calcul1!V85&lt;$K$8,$K$8,Calcul1!V85),5)</f>
        <v>0.15</v>
      </c>
    </row>
    <row r="50" spans="13:14">
      <c r="M50" s="86">
        <v>0.4</v>
      </c>
      <c r="N50" s="93">
        <f>ROUND(IF(Calcul1!V86&lt;$K$8,$K$8,Calcul1!V86),5)</f>
        <v>0.15</v>
      </c>
    </row>
    <row r="51" spans="13:14">
      <c r="M51" s="86">
        <v>0.41</v>
      </c>
      <c r="N51" s="93">
        <f>ROUND(IF(Calcul1!V87&lt;$K$8,$K$8,Calcul1!V87),5)</f>
        <v>0.14779</v>
      </c>
    </row>
    <row r="52" spans="13:14">
      <c r="M52" s="86">
        <v>0.42</v>
      </c>
      <c r="N52" s="93">
        <f>ROUND(IF(Calcul1!V88&lt;$K$8,$K$8,Calcul1!V88),5)</f>
        <v>0.14566999999999999</v>
      </c>
    </row>
    <row r="53" spans="13:14">
      <c r="M53" s="86">
        <v>0.43</v>
      </c>
      <c r="N53" s="93">
        <f>ROUND(IF(Calcul1!V89&lt;$K$8,$K$8,Calcul1!V89),5)</f>
        <v>0.14363000000000001</v>
      </c>
    </row>
    <row r="54" spans="13:14">
      <c r="M54" s="86">
        <v>0.44</v>
      </c>
      <c r="N54" s="93">
        <f>ROUND(IF(Calcul1!V90&lt;$K$8,$K$8,Calcul1!V90),5)</f>
        <v>0.14166000000000001</v>
      </c>
    </row>
    <row r="55" spans="13:14">
      <c r="M55" s="86">
        <v>0.45</v>
      </c>
      <c r="N55" s="93">
        <f>ROUND(IF(Calcul1!V91&lt;$K$8,$K$8,Calcul1!V91),5)</f>
        <v>0.13977000000000001</v>
      </c>
    </row>
    <row r="56" spans="13:14">
      <c r="M56" s="86">
        <v>0.46</v>
      </c>
      <c r="N56" s="93">
        <f>ROUND(IF(Calcul1!V92&lt;$K$8,$K$8,Calcul1!V92),5)</f>
        <v>0.13793</v>
      </c>
    </row>
    <row r="57" spans="13:14">
      <c r="M57" s="86">
        <v>0.47</v>
      </c>
      <c r="N57" s="93">
        <f>ROUND(IF(Calcul1!V93&lt;$K$8,$K$8,Calcul1!V93),5)</f>
        <v>0.13617000000000001</v>
      </c>
    </row>
    <row r="58" spans="13:14" ht="15" customHeight="1">
      <c r="M58" s="86">
        <v>0.48</v>
      </c>
      <c r="N58" s="93">
        <f>ROUND(IF(Calcul1!V94&lt;$K$8,$K$8,Calcul1!V94),5)</f>
        <v>0.13446</v>
      </c>
    </row>
    <row r="59" spans="13:14" ht="15.75" customHeight="1">
      <c r="M59" s="86">
        <v>0.49</v>
      </c>
      <c r="N59" s="93">
        <f>ROUND(IF(Calcul1!V95&lt;$K$8,$K$8,Calcul1!V95),5)</f>
        <v>0.1328</v>
      </c>
    </row>
    <row r="60" spans="13:14">
      <c r="M60" s="86">
        <v>0.5</v>
      </c>
      <c r="N60" s="93">
        <f>ROUND(IF(Calcul1!V96&lt;$K$8,$K$8,Calcul1!V96),5)</f>
        <v>0.13120000000000001</v>
      </c>
    </row>
    <row r="61" spans="13:14">
      <c r="M61" s="86">
        <v>0.51</v>
      </c>
      <c r="N61" s="93">
        <f>ROUND(IF(Calcul1!V97&lt;$K$8,$K$8,Calcul1!V97),5)</f>
        <v>0.12964999999999999</v>
      </c>
    </row>
    <row r="62" spans="13:14">
      <c r="M62" s="86">
        <v>0.52</v>
      </c>
      <c r="N62" s="93">
        <f>ROUND(IF(Calcul1!V98&lt;$K$8,$K$8,Calcul1!V98),5)</f>
        <v>0.12814999999999999</v>
      </c>
    </row>
    <row r="63" spans="13:14">
      <c r="M63" s="86">
        <v>0.53</v>
      </c>
      <c r="N63" s="93">
        <f>ROUND(IF(Calcul1!V99&lt;$K$8,$K$8,Calcul1!V99),5)</f>
        <v>0.12670000000000001</v>
      </c>
    </row>
    <row r="64" spans="13:14">
      <c r="M64" s="86">
        <v>0.54</v>
      </c>
      <c r="N64" s="93">
        <f>ROUND(IF(Calcul1!V100&lt;$K$8,$K$8,Calcul1!V100),5)</f>
        <v>0.12528</v>
      </c>
    </row>
    <row r="65" spans="13:14">
      <c r="M65" s="86">
        <v>0.55000000000000004</v>
      </c>
      <c r="N65" s="93">
        <f>ROUND(IF(Calcul1!V101&lt;$K$8,$K$8,Calcul1!V101),5)</f>
        <v>0.12391000000000001</v>
      </c>
    </row>
    <row r="66" spans="13:14">
      <c r="M66" s="86">
        <v>0.56000000000000005</v>
      </c>
      <c r="N66" s="93">
        <f>ROUND(IF(Calcul1!V102&lt;$K$8,$K$8,Calcul1!V102),5)</f>
        <v>0.12257999999999999</v>
      </c>
    </row>
    <row r="67" spans="13:14">
      <c r="M67" s="86">
        <v>0.56999999999999995</v>
      </c>
      <c r="N67" s="93">
        <f>ROUND(IF(Calcul1!V103&lt;$K$8,$K$8,Calcul1!V103),5)</f>
        <v>0.12128</v>
      </c>
    </row>
    <row r="68" spans="13:14">
      <c r="M68" s="86">
        <v>0.57999999999999996</v>
      </c>
      <c r="N68" s="93">
        <f>ROUND(IF(Calcul1!V104&lt;$K$8,$K$8,Calcul1!V104),5)</f>
        <v>0.12002</v>
      </c>
    </row>
    <row r="69" spans="13:14">
      <c r="M69" s="86">
        <v>0.59</v>
      </c>
      <c r="N69" s="93">
        <f>ROUND(IF(Calcul1!V105&lt;$K$8,$K$8,Calcul1!V105),5)</f>
        <v>0.1188</v>
      </c>
    </row>
    <row r="70" spans="13:14">
      <c r="M70" s="86">
        <v>0.6</v>
      </c>
      <c r="N70" s="93">
        <f>ROUND(IF(Calcul1!V106&lt;$K$8,$K$8,Calcul1!V106),5)</f>
        <v>0.11761000000000001</v>
      </c>
    </row>
    <row r="71" spans="13:14">
      <c r="M71" s="86">
        <v>0.61</v>
      </c>
      <c r="N71" s="93">
        <f>ROUND(IF(Calcul1!V107&lt;$K$8,$K$8,Calcul1!V107),5)</f>
        <v>0.11645</v>
      </c>
    </row>
    <row r="72" spans="13:14">
      <c r="M72" s="86">
        <v>0.62</v>
      </c>
      <c r="N72" s="93">
        <f>ROUND(IF(Calcul1!V108&lt;$K$8,$K$8,Calcul1!V108),5)</f>
        <v>0.11532000000000001</v>
      </c>
    </row>
    <row r="73" spans="13:14">
      <c r="M73" s="86">
        <v>0.63</v>
      </c>
      <c r="N73" s="93">
        <f>ROUND(IF(Calcul1!V109&lt;$K$8,$K$8,Calcul1!V109),5)</f>
        <v>0.11421000000000001</v>
      </c>
    </row>
    <row r="74" spans="13:14">
      <c r="M74" s="86">
        <v>0.64</v>
      </c>
      <c r="N74" s="93">
        <f>ROUND(IF(Calcul1!V110&lt;$K$8,$K$8,Calcul1!V110),5)</f>
        <v>0.11314</v>
      </c>
    </row>
    <row r="75" spans="13:14">
      <c r="M75" s="86">
        <v>0.65</v>
      </c>
      <c r="N75" s="93">
        <f>ROUND(IF(Calcul1!V111&lt;$K$8,$K$8,Calcul1!V111),5)</f>
        <v>0.11209</v>
      </c>
    </row>
    <row r="76" spans="13:14">
      <c r="M76" s="86">
        <v>0.66</v>
      </c>
      <c r="N76" s="93">
        <f>ROUND(IF(Calcul1!V112&lt;$K$8,$K$8,Calcul1!V112),5)</f>
        <v>0.11107</v>
      </c>
    </row>
    <row r="77" spans="13:14">
      <c r="M77" s="86">
        <v>0.67</v>
      </c>
      <c r="N77" s="93">
        <f>ROUND(IF(Calcul1!V113&lt;$K$8,$K$8,Calcul1!V113),5)</f>
        <v>0.11007</v>
      </c>
    </row>
    <row r="78" spans="13:14">
      <c r="M78" s="86">
        <v>0.68</v>
      </c>
      <c r="N78" s="93">
        <f>ROUND(IF(Calcul1!V114&lt;$K$8,$K$8,Calcul1!V114),5)</f>
        <v>0.1091</v>
      </c>
    </row>
    <row r="79" spans="13:14">
      <c r="M79" s="86">
        <v>0.69</v>
      </c>
      <c r="N79" s="93">
        <f>ROUND(IF(Calcul1!V115&lt;$K$8,$K$8,Calcul1!V115),5)</f>
        <v>0.10815</v>
      </c>
    </row>
    <row r="80" spans="13:14">
      <c r="M80" s="86">
        <v>0.7</v>
      </c>
      <c r="N80" s="93">
        <f>ROUND(IF(Calcul1!V116&lt;$K$8,$K$8,Calcul1!V116),5)</f>
        <v>0.10722</v>
      </c>
    </row>
    <row r="81" spans="13:14">
      <c r="M81" s="86">
        <v>0.71</v>
      </c>
      <c r="N81" s="93">
        <f>ROUND(IF(Calcul1!V117&lt;$K$8,$K$8,Calcul1!V117),5)</f>
        <v>0.10631</v>
      </c>
    </row>
    <row r="82" spans="13:14">
      <c r="M82" s="86">
        <v>0.72</v>
      </c>
      <c r="N82" s="93">
        <f>ROUND(IF(Calcul1!V118&lt;$K$8,$K$8,Calcul1!V118),5)</f>
        <v>0.10542</v>
      </c>
    </row>
    <row r="83" spans="13:14">
      <c r="M83" s="86">
        <v>0.73</v>
      </c>
      <c r="N83" s="93">
        <f>ROUND(IF(Calcul1!V119&lt;$K$8,$K$8,Calcul1!V119),5)</f>
        <v>0.10455</v>
      </c>
    </row>
    <row r="84" spans="13:14">
      <c r="M84" s="86">
        <v>0.74</v>
      </c>
      <c r="N84" s="93">
        <f>ROUND(IF(Calcul1!V120&lt;$K$8,$K$8,Calcul1!V120),5)</f>
        <v>0.1037</v>
      </c>
    </row>
    <row r="85" spans="13:14">
      <c r="M85" s="86">
        <v>0.75</v>
      </c>
      <c r="N85" s="93">
        <f>ROUND(IF(Calcul1!V121&lt;$K$8,$K$8,Calcul1!V121),5)</f>
        <v>0.10287</v>
      </c>
    </row>
    <row r="86" spans="13:14">
      <c r="M86" s="86">
        <v>0.76</v>
      </c>
      <c r="N86" s="93">
        <f>ROUND(IF(Calcul1!V122&lt;$K$8,$K$8,Calcul1!V122),5)</f>
        <v>0.10206</v>
      </c>
    </row>
    <row r="87" spans="13:14">
      <c r="M87" s="86">
        <v>0.77</v>
      </c>
      <c r="N87" s="93">
        <f>ROUND(IF(Calcul1!V123&lt;$K$8,$K$8,Calcul1!V123),5)</f>
        <v>0.10126</v>
      </c>
    </row>
    <row r="88" spans="13:14">
      <c r="M88" s="86">
        <v>0.78</v>
      </c>
      <c r="N88" s="93">
        <f>ROUND(IF(Calcul1!V124&lt;$K$8,$K$8,Calcul1!V124),5)</f>
        <v>0.10048</v>
      </c>
    </row>
    <row r="89" spans="13:14">
      <c r="M89" s="86">
        <v>0.79</v>
      </c>
      <c r="N89" s="93">
        <f>ROUND(IF(Calcul1!V125&lt;$K$8,$K$8,Calcul1!V125),5)</f>
        <v>9.9709999999999993E-2</v>
      </c>
    </row>
    <row r="90" spans="13:14">
      <c r="M90" s="86">
        <v>0.8</v>
      </c>
      <c r="N90" s="93">
        <f>ROUND(IF(Calcul1!V126&lt;$K$8,$K$8,Calcul1!V126),5)</f>
        <v>9.8960000000000006E-2</v>
      </c>
    </row>
    <row r="91" spans="13:14">
      <c r="M91" s="86">
        <v>0.81</v>
      </c>
      <c r="N91" s="93">
        <f>ROUND(IF(Calcul1!V127&lt;$K$8,$K$8,Calcul1!V127),5)</f>
        <v>9.8229999999999998E-2</v>
      </c>
    </row>
    <row r="92" spans="13:14">
      <c r="M92" s="86">
        <v>0.82</v>
      </c>
      <c r="N92" s="93">
        <f>ROUND(IF(Calcul1!V128&lt;$K$8,$K$8,Calcul1!V128),5)</f>
        <v>9.7509999999999999E-2</v>
      </c>
    </row>
    <row r="93" spans="13:14">
      <c r="M93" s="86">
        <v>0.83</v>
      </c>
      <c r="N93" s="93">
        <f>ROUND(IF(Calcul1!V129&lt;$K$8,$K$8,Calcul1!V129),5)</f>
        <v>9.6799999999999997E-2</v>
      </c>
    </row>
    <row r="94" spans="13:14">
      <c r="M94" s="86">
        <v>0.84</v>
      </c>
      <c r="N94" s="93">
        <f>ROUND(IF(Calcul1!V130&lt;$K$8,$K$8,Calcul1!V130),5)</f>
        <v>9.6110000000000001E-2</v>
      </c>
    </row>
    <row r="95" spans="13:14">
      <c r="M95" s="86">
        <v>0.85</v>
      </c>
      <c r="N95" s="93">
        <f>ROUND(IF(Calcul1!V131&lt;$K$8,$K$8,Calcul1!V131),5)</f>
        <v>9.5430000000000001E-2</v>
      </c>
    </row>
    <row r="96" spans="13:14">
      <c r="M96" s="86">
        <v>0.86</v>
      </c>
      <c r="N96" s="93">
        <f>ROUND(IF(Calcul1!V132&lt;$K$8,$K$8,Calcul1!V132),5)</f>
        <v>9.4759999999999997E-2</v>
      </c>
    </row>
    <row r="97" spans="13:14">
      <c r="M97" s="86">
        <v>0.87</v>
      </c>
      <c r="N97" s="93">
        <f>ROUND(IF(Calcul1!V133&lt;$K$8,$K$8,Calcul1!V133),5)</f>
        <v>9.4109999999999999E-2</v>
      </c>
    </row>
    <row r="98" spans="13:14">
      <c r="M98" s="86">
        <v>0.88</v>
      </c>
      <c r="N98" s="93">
        <f>ROUND(IF(Calcul1!V134&lt;$K$8,$K$8,Calcul1!V134),5)</f>
        <v>9.3460000000000001E-2</v>
      </c>
    </row>
    <row r="99" spans="13:14">
      <c r="M99" s="86">
        <v>0.89</v>
      </c>
      <c r="N99" s="93">
        <f>ROUND(IF(Calcul1!V135&lt;$K$8,$K$8,Calcul1!V135),5)</f>
        <v>9.2829999999999996E-2</v>
      </c>
    </row>
    <row r="100" spans="13:14">
      <c r="M100" s="86">
        <v>0.9</v>
      </c>
      <c r="N100" s="93">
        <f>ROUND(IF(Calcul1!V136&lt;$K$8,$K$8,Calcul1!V136),5)</f>
        <v>9.221E-2</v>
      </c>
    </row>
    <row r="101" spans="13:14">
      <c r="M101" s="86">
        <v>0.91</v>
      </c>
      <c r="N101" s="93">
        <f>ROUND(IF(Calcul1!V137&lt;$K$8,$K$8,Calcul1!V137),5)</f>
        <v>9.1600000000000001E-2</v>
      </c>
    </row>
    <row r="102" spans="13:14">
      <c r="M102" s="86">
        <v>0.92</v>
      </c>
      <c r="N102" s="93">
        <f>ROUND(IF(Calcul1!V138&lt;$K$8,$K$8,Calcul1!V138),5)</f>
        <v>9.0999999999999998E-2</v>
      </c>
    </row>
    <row r="103" spans="13:14">
      <c r="M103" s="86">
        <v>0.93</v>
      </c>
      <c r="N103" s="93">
        <f>ROUND(IF(Calcul1!V139&lt;$K$8,$K$8,Calcul1!V139),5)</f>
        <v>9.0410000000000004E-2</v>
      </c>
    </row>
    <row r="104" spans="13:14">
      <c r="M104" s="86">
        <v>0.94</v>
      </c>
      <c r="N104" s="93">
        <f>ROUND(IF(Calcul1!V140&lt;$K$8,$K$8,Calcul1!V140),5)</f>
        <v>8.9840000000000003E-2</v>
      </c>
    </row>
    <row r="105" spans="13:14">
      <c r="M105" s="86">
        <v>0.95</v>
      </c>
      <c r="N105" s="93">
        <f>ROUND(IF(Calcul1!V141&lt;$K$8,$K$8,Calcul1!V141),5)</f>
        <v>8.9270000000000002E-2</v>
      </c>
    </row>
    <row r="106" spans="13:14">
      <c r="M106" s="86">
        <v>0.96</v>
      </c>
      <c r="N106" s="93">
        <f>ROUND(IF(Calcul1!V142&lt;$K$8,$K$8,Calcul1!V142),5)</f>
        <v>8.8709999999999997E-2</v>
      </c>
    </row>
    <row r="107" spans="13:14">
      <c r="M107" s="86">
        <v>0.97</v>
      </c>
      <c r="N107" s="93">
        <f>ROUND(IF(Calcul1!V143&lt;$K$8,$K$8,Calcul1!V143),5)</f>
        <v>8.8160000000000002E-2</v>
      </c>
    </row>
    <row r="108" spans="13:14">
      <c r="M108" s="86">
        <v>0.98</v>
      </c>
      <c r="N108" s="93">
        <f>ROUND(IF(Calcul1!V144&lt;$K$8,$K$8,Calcul1!V144),5)</f>
        <v>8.7620000000000003E-2</v>
      </c>
    </row>
    <row r="109" spans="13:14">
      <c r="M109" s="86">
        <v>0.99</v>
      </c>
      <c r="N109" s="93">
        <f>ROUND(IF(Calcul1!V145&lt;$K$8,$K$8,Calcul1!V145),5)</f>
        <v>8.7090000000000001E-2</v>
      </c>
    </row>
    <row r="110" spans="13:14">
      <c r="M110" s="86">
        <v>1</v>
      </c>
      <c r="N110" s="93">
        <f>ROUND(IF(Calcul1!V146&lt;$K$8,$K$8,Calcul1!V146),5)</f>
        <v>8.6559999999999998E-2</v>
      </c>
    </row>
    <row r="111" spans="13:14">
      <c r="M111" s="86">
        <v>1.01</v>
      </c>
      <c r="N111" s="93">
        <f>ROUND(IF(Calcul1!V147&lt;$K$8,$K$8,Calcul1!V147),5)</f>
        <v>8.5529999999999995E-2</v>
      </c>
    </row>
    <row r="112" spans="13:14">
      <c r="M112" s="86">
        <v>1.02</v>
      </c>
      <c r="N112" s="93">
        <f>ROUND(IF(Calcul1!V148&lt;$K$8,$K$8,Calcul1!V148),5)</f>
        <v>8.4529999999999994E-2</v>
      </c>
    </row>
    <row r="113" spans="13:14">
      <c r="M113" s="86">
        <v>1.03</v>
      </c>
      <c r="N113" s="93">
        <f>ROUND(IF(Calcul1!V149&lt;$K$8,$K$8,Calcul1!V149),5)</f>
        <v>8.3549999999999999E-2</v>
      </c>
    </row>
    <row r="114" spans="13:14">
      <c r="M114" s="86">
        <v>1.04</v>
      </c>
      <c r="N114" s="93">
        <f>ROUND(IF(Calcul1!V150&lt;$K$8,$K$8,Calcul1!V150),5)</f>
        <v>8.2580000000000001E-2</v>
      </c>
    </row>
    <row r="115" spans="13:14">
      <c r="M115" s="86">
        <v>1.05</v>
      </c>
      <c r="N115" s="93">
        <f>ROUND(IF(Calcul1!V151&lt;$K$8,$K$8,Calcul1!V151),5)</f>
        <v>8.1640000000000004E-2</v>
      </c>
    </row>
    <row r="116" spans="13:14">
      <c r="M116" s="86">
        <v>1.06</v>
      </c>
      <c r="N116" s="93">
        <f>ROUND(IF(Calcul1!V152&lt;$K$8,$K$8,Calcul1!V152),5)</f>
        <v>8.072E-2</v>
      </c>
    </row>
    <row r="117" spans="13:14">
      <c r="M117" s="86">
        <v>1.07</v>
      </c>
      <c r="N117" s="93">
        <f>ROUND(IF(Calcul1!V153&lt;$K$8,$K$8,Calcul1!V153),5)</f>
        <v>7.9810000000000006E-2</v>
      </c>
    </row>
    <row r="118" spans="13:14">
      <c r="M118" s="86">
        <v>1.08</v>
      </c>
      <c r="N118" s="93">
        <f>ROUND(IF(Calcul1!V154&lt;$K$8,$K$8,Calcul1!V154),5)</f>
        <v>7.893E-2</v>
      </c>
    </row>
    <row r="119" spans="13:14">
      <c r="M119" s="86">
        <v>1.0900000000000001</v>
      </c>
      <c r="N119" s="93">
        <f>ROUND(IF(Calcul1!V155&lt;$K$8,$K$8,Calcul1!V155),5)</f>
        <v>7.8060000000000004E-2</v>
      </c>
    </row>
    <row r="120" spans="13:14">
      <c r="M120" s="86">
        <v>1.1000000000000001</v>
      </c>
      <c r="N120" s="93">
        <f>ROUND(IF(Calcul1!V156&lt;$K$8,$K$8,Calcul1!V156),5)</f>
        <v>7.7210000000000001E-2</v>
      </c>
    </row>
    <row r="121" spans="13:14">
      <c r="M121" s="86">
        <v>1.1100000000000001</v>
      </c>
      <c r="N121" s="93">
        <f>ROUND(IF(Calcul1!V157&lt;$K$8,$K$8,Calcul1!V157),5)</f>
        <v>7.6369999999999993E-2</v>
      </c>
    </row>
    <row r="122" spans="13:14">
      <c r="M122" s="86">
        <v>1.1200000000000001</v>
      </c>
      <c r="N122" s="93">
        <f>ROUND(IF(Calcul1!V158&lt;$K$8,$K$8,Calcul1!V158),5)</f>
        <v>7.5560000000000002E-2</v>
      </c>
    </row>
    <row r="123" spans="13:14">
      <c r="M123" s="86">
        <v>1.1299999999999999</v>
      </c>
      <c r="N123" s="93">
        <f>ROUND(IF(Calcul1!V159&lt;$K$8,$K$8,Calcul1!V159),5)</f>
        <v>7.4749999999999997E-2</v>
      </c>
    </row>
    <row r="124" spans="13:14">
      <c r="M124" s="86">
        <v>1.1399999999999999</v>
      </c>
      <c r="N124" s="93">
        <f>ROUND(IF(Calcul1!V160&lt;$K$8,$K$8,Calcul1!V160),5)</f>
        <v>7.3969999999999994E-2</v>
      </c>
    </row>
    <row r="125" spans="13:14">
      <c r="M125" s="86">
        <v>1.1499999999999999</v>
      </c>
      <c r="N125" s="93">
        <f>ROUND(IF(Calcul1!V161&lt;$K$8,$K$8,Calcul1!V161),5)</f>
        <v>7.3200000000000001E-2</v>
      </c>
    </row>
    <row r="126" spans="13:14">
      <c r="M126" s="86">
        <v>1.1599999999999999</v>
      </c>
      <c r="N126" s="93">
        <f>ROUND(IF(Calcul1!V162&lt;$K$8,$K$8,Calcul1!V162),5)</f>
        <v>7.2440000000000004E-2</v>
      </c>
    </row>
    <row r="127" spans="13:14">
      <c r="M127" s="86">
        <v>1.17</v>
      </c>
      <c r="N127" s="93">
        <f>ROUND(IF(Calcul1!V163&lt;$K$8,$K$8,Calcul1!V163),5)</f>
        <v>7.17E-2</v>
      </c>
    </row>
    <row r="128" spans="13:14">
      <c r="M128" s="86">
        <v>1.18</v>
      </c>
      <c r="N128" s="93">
        <f>ROUND(IF(Calcul1!V164&lt;$K$8,$K$8,Calcul1!V164),5)</f>
        <v>7.0970000000000005E-2</v>
      </c>
    </row>
    <row r="129" spans="13:14">
      <c r="M129" s="86">
        <v>1.19</v>
      </c>
      <c r="N129" s="93">
        <f>ROUND(IF(Calcul1!V165&lt;$K$8,$K$8,Calcul1!V165),5)</f>
        <v>7.0250000000000007E-2</v>
      </c>
    </row>
    <row r="130" spans="13:14">
      <c r="M130" s="86">
        <v>1.2</v>
      </c>
      <c r="N130" s="93">
        <f>ROUND(IF(Calcul1!V166&lt;$K$8,$K$8,Calcul1!V166),5)</f>
        <v>6.9550000000000001E-2</v>
      </c>
    </row>
    <row r="131" spans="13:14">
      <c r="M131" s="86">
        <v>1.21</v>
      </c>
      <c r="N131" s="93">
        <f>ROUND(IF(Calcul1!V167&lt;$K$8,$K$8,Calcul1!V167),5)</f>
        <v>6.8860000000000005E-2</v>
      </c>
    </row>
    <row r="132" spans="13:14">
      <c r="M132" s="86">
        <v>1.22</v>
      </c>
      <c r="N132" s="93">
        <f>ROUND(IF(Calcul1!V168&lt;$K$8,$K$8,Calcul1!V168),5)</f>
        <v>6.8190000000000001E-2</v>
      </c>
    </row>
    <row r="133" spans="13:14">
      <c r="M133" s="86">
        <v>1.23</v>
      </c>
      <c r="N133" s="93">
        <f>ROUND(IF(Calcul1!V169&lt;$K$8,$K$8,Calcul1!V169),5)</f>
        <v>6.7519999999999997E-2</v>
      </c>
    </row>
    <row r="134" spans="13:14">
      <c r="M134" s="86">
        <v>1.24</v>
      </c>
      <c r="N134" s="93">
        <f>ROUND(IF(Calcul1!V170&lt;$K$8,$K$8,Calcul1!V170),5)</f>
        <v>6.6869999999999999E-2</v>
      </c>
    </row>
    <row r="135" spans="13:14">
      <c r="M135" s="86">
        <v>1.25</v>
      </c>
      <c r="N135" s="93">
        <f>ROUND(IF(Calcul1!V171&lt;$K$8,$K$8,Calcul1!V171),5)</f>
        <v>6.6229999999999997E-2</v>
      </c>
    </row>
    <row r="136" spans="13:14">
      <c r="M136" s="86">
        <v>1.26</v>
      </c>
      <c r="N136" s="93">
        <f>ROUND(IF(Calcul1!V172&lt;$K$8,$K$8,Calcul1!V172),5)</f>
        <v>6.5600000000000006E-2</v>
      </c>
    </row>
    <row r="137" spans="13:14">
      <c r="M137" s="86">
        <v>1.27</v>
      </c>
      <c r="N137" s="93">
        <f>ROUND(IF(Calcul1!V173&lt;$K$8,$K$8,Calcul1!V173),5)</f>
        <v>6.4979999999999996E-2</v>
      </c>
    </row>
    <row r="138" spans="13:14">
      <c r="M138" s="86">
        <v>1.28</v>
      </c>
      <c r="N138" s="93">
        <f>ROUND(IF(Calcul1!V174&lt;$K$8,$K$8,Calcul1!V174),5)</f>
        <v>6.4369999999999997E-2</v>
      </c>
    </row>
    <row r="139" spans="13:14">
      <c r="M139" s="86">
        <v>1.29</v>
      </c>
      <c r="N139" s="93">
        <f>ROUND(IF(Calcul1!V175&lt;$K$8,$K$8,Calcul1!V175),5)</f>
        <v>6.3769999999999993E-2</v>
      </c>
    </row>
    <row r="140" spans="13:14">
      <c r="M140" s="86">
        <v>1.3</v>
      </c>
      <c r="N140" s="93">
        <f>ROUND(IF(Calcul1!V176&lt;$K$8,$K$8,Calcul1!V176),5)</f>
        <v>6.318E-2</v>
      </c>
    </row>
    <row r="141" spans="13:14">
      <c r="M141" s="86">
        <v>1.31</v>
      </c>
      <c r="N141" s="93">
        <f>ROUND(IF(Calcul1!V177&lt;$K$8,$K$8,Calcul1!V177),5)</f>
        <v>6.2600000000000003E-2</v>
      </c>
    </row>
    <row r="142" spans="13:14">
      <c r="M142" s="86">
        <v>1.32</v>
      </c>
      <c r="N142" s="93">
        <f>ROUND(IF(Calcul1!V178&lt;$K$8,$K$8,Calcul1!V178),5)</f>
        <v>6.2039999999999998E-2</v>
      </c>
    </row>
    <row r="143" spans="13:14">
      <c r="M143" s="86">
        <v>1.33</v>
      </c>
      <c r="N143" s="93">
        <f>ROUND(IF(Calcul1!V179&lt;$K$8,$K$8,Calcul1!V179),5)</f>
        <v>6.148E-2</v>
      </c>
    </row>
    <row r="144" spans="13:14">
      <c r="M144" s="86">
        <v>1.34</v>
      </c>
      <c r="N144" s="93">
        <f>ROUND(IF(Calcul1!V180&lt;$K$8,$K$8,Calcul1!V180),5)</f>
        <v>6.0929999999999998E-2</v>
      </c>
    </row>
    <row r="145" spans="13:14">
      <c r="M145" s="86">
        <v>1.35</v>
      </c>
      <c r="N145" s="93">
        <f>ROUND(IF(Calcul1!V181&lt;$K$8,$K$8,Calcul1!V181),5)</f>
        <v>6.0380000000000003E-2</v>
      </c>
    </row>
    <row r="146" spans="13:14">
      <c r="M146" s="86">
        <v>1.36</v>
      </c>
      <c r="N146" s="93">
        <f>ROUND(IF(Calcul1!V182&lt;$K$8,$K$8,Calcul1!V182),5)</f>
        <v>5.985E-2</v>
      </c>
    </row>
    <row r="147" spans="13:14">
      <c r="M147" s="86">
        <v>1.37</v>
      </c>
      <c r="N147" s="93">
        <f>ROUND(IF(Calcul1!V183&lt;$K$8,$K$8,Calcul1!V183),5)</f>
        <v>5.9330000000000001E-2</v>
      </c>
    </row>
    <row r="148" spans="13:14">
      <c r="M148" s="86">
        <v>1.38</v>
      </c>
      <c r="N148" s="93">
        <f>ROUND(IF(Calcul1!V184&lt;$K$8,$K$8,Calcul1!V184),5)</f>
        <v>5.8810000000000001E-2</v>
      </c>
    </row>
    <row r="149" spans="13:14">
      <c r="M149" s="86">
        <v>1.39</v>
      </c>
      <c r="N149" s="93">
        <f>ROUND(IF(Calcul1!V185&lt;$K$8,$K$8,Calcul1!V185),5)</f>
        <v>5.8310000000000001E-2</v>
      </c>
    </row>
    <row r="150" spans="13:14">
      <c r="M150" s="86">
        <v>1.4</v>
      </c>
      <c r="N150" s="93">
        <f>ROUND(IF(Calcul1!V186&lt;$K$8,$K$8,Calcul1!V186),5)</f>
        <v>5.781E-2</v>
      </c>
    </row>
    <row r="151" spans="13:14">
      <c r="M151" s="86">
        <v>1.41</v>
      </c>
      <c r="N151" s="93">
        <f>ROUND(IF(Calcul1!V187&lt;$K$8,$K$8,Calcul1!V187),5)</f>
        <v>5.731E-2</v>
      </c>
    </row>
    <row r="152" spans="13:14">
      <c r="M152" s="86">
        <v>1.42</v>
      </c>
      <c r="N152" s="93">
        <f>ROUND(IF(Calcul1!V188&lt;$K$8,$K$8,Calcul1!V188),5)</f>
        <v>5.6829999999999999E-2</v>
      </c>
    </row>
    <row r="153" spans="13:14">
      <c r="M153" s="86">
        <v>1.43</v>
      </c>
      <c r="N153" s="93">
        <f>ROUND(IF(Calcul1!V189&lt;$K$8,$K$8,Calcul1!V189),5)</f>
        <v>5.6349999999999997E-2</v>
      </c>
    </row>
    <row r="154" spans="13:14">
      <c r="M154" s="86">
        <v>1.44</v>
      </c>
      <c r="N154" s="93">
        <f>ROUND(IF(Calcul1!V190&lt;$K$8,$K$8,Calcul1!V190),5)</f>
        <v>5.5879999999999999E-2</v>
      </c>
    </row>
    <row r="155" spans="13:14">
      <c r="M155" s="86">
        <v>1.45</v>
      </c>
      <c r="N155" s="93">
        <f>ROUND(IF(Calcul1!V191&lt;$K$8,$K$8,Calcul1!V191),5)</f>
        <v>5.5419999999999997E-2</v>
      </c>
    </row>
    <row r="156" spans="13:14">
      <c r="M156" s="86">
        <v>1.46</v>
      </c>
      <c r="N156" s="93">
        <f>ROUND(IF(Calcul1!V192&lt;$K$8,$K$8,Calcul1!V192),5)</f>
        <v>5.4969999999999998E-2</v>
      </c>
    </row>
    <row r="157" spans="13:14">
      <c r="M157" s="86">
        <v>1.47</v>
      </c>
      <c r="N157" s="93">
        <f>ROUND(IF(Calcul1!V193&lt;$K$8,$K$8,Calcul1!V193),5)</f>
        <v>5.4519999999999999E-2</v>
      </c>
    </row>
    <row r="158" spans="13:14">
      <c r="M158" s="86">
        <v>1.48</v>
      </c>
      <c r="N158" s="93">
        <f>ROUND(IF(Calcul1!V194&lt;$K$8,$K$8,Calcul1!V194),5)</f>
        <v>5.4080000000000003E-2</v>
      </c>
    </row>
    <row r="159" spans="13:14">
      <c r="M159" s="86">
        <v>1.49</v>
      </c>
      <c r="N159" s="93">
        <f>ROUND(IF(Calcul1!V195&lt;$K$8,$K$8,Calcul1!V195),5)</f>
        <v>5.3999999999999999E-2</v>
      </c>
    </row>
    <row r="160" spans="13:14">
      <c r="M160" s="86">
        <v>1.5</v>
      </c>
      <c r="N160" s="93">
        <f>ROUND(IF(Calcul1!V196&lt;$K$8,$K$8,Calcul1!V196),5)</f>
        <v>5.3999999999999999E-2</v>
      </c>
    </row>
    <row r="161" spans="13:14">
      <c r="M161" s="86">
        <v>1.51</v>
      </c>
      <c r="N161" s="93">
        <f>ROUND(IF(Calcul1!V197&lt;$K$8,$K$8,Calcul1!V197),5)</f>
        <v>5.3999999999999999E-2</v>
      </c>
    </row>
    <row r="162" spans="13:14">
      <c r="M162" s="86">
        <v>1.52</v>
      </c>
      <c r="N162" s="93">
        <f>ROUND(IF(Calcul1!V198&lt;$K$8,$K$8,Calcul1!V198),5)</f>
        <v>5.3999999999999999E-2</v>
      </c>
    </row>
    <row r="163" spans="13:14">
      <c r="M163" s="86">
        <v>1.53</v>
      </c>
      <c r="N163" s="93">
        <f>ROUND(IF(Calcul1!V199&lt;$K$8,$K$8,Calcul1!V199),5)</f>
        <v>5.3999999999999999E-2</v>
      </c>
    </row>
    <row r="164" spans="13:14">
      <c r="M164" s="86">
        <v>1.54</v>
      </c>
      <c r="N164" s="93">
        <f>ROUND(IF(Calcul1!V200&lt;$K$8,$K$8,Calcul1!V200),5)</f>
        <v>5.3999999999999999E-2</v>
      </c>
    </row>
    <row r="165" spans="13:14">
      <c r="M165" s="86">
        <v>1.55</v>
      </c>
      <c r="N165" s="93">
        <f>ROUND(IF(Calcul1!V201&lt;$K$8,$K$8,Calcul1!V201),5)</f>
        <v>5.3999999999999999E-2</v>
      </c>
    </row>
    <row r="166" spans="13:14">
      <c r="M166" s="86">
        <v>1.56</v>
      </c>
      <c r="N166" s="93">
        <f>ROUND(IF(Calcul1!V202&lt;$K$8,$K$8,Calcul1!V202),5)</f>
        <v>5.3999999999999999E-2</v>
      </c>
    </row>
    <row r="167" spans="13:14">
      <c r="M167" s="86">
        <v>1.57</v>
      </c>
      <c r="N167" s="93">
        <f>ROUND(IF(Calcul1!V203&lt;$K$8,$K$8,Calcul1!V203),5)</f>
        <v>5.3999999999999999E-2</v>
      </c>
    </row>
    <row r="168" spans="13:14">
      <c r="M168" s="86">
        <v>1.58</v>
      </c>
      <c r="N168" s="93">
        <f>ROUND(IF(Calcul1!V204&lt;$K$8,$K$8,Calcul1!V204),5)</f>
        <v>5.3999999999999999E-2</v>
      </c>
    </row>
    <row r="169" spans="13:14">
      <c r="M169" s="86">
        <v>1.59</v>
      </c>
      <c r="N169" s="93">
        <f>ROUND(IF(Calcul1!V205&lt;$K$8,$K$8,Calcul1!V205),5)</f>
        <v>5.3999999999999999E-2</v>
      </c>
    </row>
    <row r="170" spans="13:14">
      <c r="M170" s="86">
        <v>1.6</v>
      </c>
      <c r="N170" s="93">
        <f>ROUND(IF(Calcul1!V206&lt;$K$8,$K$8,Calcul1!V206),5)</f>
        <v>5.3999999999999999E-2</v>
      </c>
    </row>
    <row r="171" spans="13:14">
      <c r="M171" s="86">
        <v>1.61</v>
      </c>
      <c r="N171" s="93">
        <f>ROUND(IF(Calcul1!V207&lt;$K$8,$K$8,Calcul1!V207),5)</f>
        <v>5.3999999999999999E-2</v>
      </c>
    </row>
    <row r="172" spans="13:14">
      <c r="M172" s="86">
        <v>1.62</v>
      </c>
      <c r="N172" s="93">
        <f>ROUND(IF(Calcul1!V208&lt;$K$8,$K$8,Calcul1!V208),5)</f>
        <v>5.3999999999999999E-2</v>
      </c>
    </row>
    <row r="173" spans="13:14">
      <c r="M173" s="86">
        <v>1.63</v>
      </c>
      <c r="N173" s="93">
        <f>ROUND(IF(Calcul1!V209&lt;$K$8,$K$8,Calcul1!V209),5)</f>
        <v>5.3999999999999999E-2</v>
      </c>
    </row>
    <row r="174" spans="13:14">
      <c r="M174" s="86">
        <v>1.64</v>
      </c>
      <c r="N174" s="93">
        <f>ROUND(IF(Calcul1!V210&lt;$K$8,$K$8,Calcul1!V210),5)</f>
        <v>5.3999999999999999E-2</v>
      </c>
    </row>
    <row r="175" spans="13:14">
      <c r="M175" s="86">
        <v>1.65</v>
      </c>
      <c r="N175" s="93">
        <f>ROUND(IF(Calcul1!V211&lt;$K$8,$K$8,Calcul1!V211),5)</f>
        <v>5.3999999999999999E-2</v>
      </c>
    </row>
    <row r="176" spans="13:14">
      <c r="M176" s="86">
        <v>1.66</v>
      </c>
      <c r="N176" s="93">
        <f>ROUND(IF(Calcul1!V212&lt;$K$8,$K$8,Calcul1!V212),5)</f>
        <v>5.3999999999999999E-2</v>
      </c>
    </row>
    <row r="177" spans="13:14">
      <c r="M177" s="86">
        <v>1.67</v>
      </c>
      <c r="N177" s="93">
        <f>ROUND(IF(Calcul1!V213&lt;$K$8,$K$8,Calcul1!V213),5)</f>
        <v>5.3999999999999999E-2</v>
      </c>
    </row>
    <row r="178" spans="13:14">
      <c r="M178" s="86">
        <v>1.68</v>
      </c>
      <c r="N178" s="93">
        <f>ROUND(IF(Calcul1!V214&lt;$K$8,$K$8,Calcul1!V214),5)</f>
        <v>5.3999999999999999E-2</v>
      </c>
    </row>
    <row r="179" spans="13:14">
      <c r="M179" s="86">
        <v>1.69</v>
      </c>
      <c r="N179" s="93">
        <f>ROUND(IF(Calcul1!V215&lt;$K$8,$K$8,Calcul1!V215),5)</f>
        <v>5.3999999999999999E-2</v>
      </c>
    </row>
    <row r="180" spans="13:14">
      <c r="M180" s="86">
        <v>1.7</v>
      </c>
      <c r="N180" s="93">
        <f>ROUND(IF(Calcul1!V216&lt;$K$8,$K$8,Calcul1!V216),5)</f>
        <v>5.3999999999999999E-2</v>
      </c>
    </row>
    <row r="181" spans="13:14">
      <c r="M181" s="86">
        <v>1.71</v>
      </c>
      <c r="N181" s="93">
        <f>ROUND(IF(Calcul1!V217&lt;$K$8,$K$8,Calcul1!V217),5)</f>
        <v>5.3999999999999999E-2</v>
      </c>
    </row>
    <row r="182" spans="13:14">
      <c r="M182" s="86">
        <v>1.72</v>
      </c>
      <c r="N182" s="93">
        <f>ROUND(IF(Calcul1!V218&lt;$K$8,$K$8,Calcul1!V218),5)</f>
        <v>5.3999999999999999E-2</v>
      </c>
    </row>
    <row r="183" spans="13:14">
      <c r="M183" s="86">
        <v>1.73</v>
      </c>
      <c r="N183" s="93">
        <f>ROUND(IF(Calcul1!V219&lt;$K$8,$K$8,Calcul1!V219),5)</f>
        <v>5.3999999999999999E-2</v>
      </c>
    </row>
    <row r="184" spans="13:14">
      <c r="M184" s="86">
        <v>1.74</v>
      </c>
      <c r="N184" s="93">
        <f>ROUND(IF(Calcul1!V220&lt;$K$8,$K$8,Calcul1!V220),5)</f>
        <v>5.3999999999999999E-2</v>
      </c>
    </row>
    <row r="185" spans="13:14">
      <c r="M185" s="86">
        <v>1.75</v>
      </c>
      <c r="N185" s="93">
        <f>ROUND(IF(Calcul1!V221&lt;$K$8,$K$8,Calcul1!V221),5)</f>
        <v>5.3999999999999999E-2</v>
      </c>
    </row>
    <row r="186" spans="13:14">
      <c r="M186" s="86">
        <v>1.76</v>
      </c>
      <c r="N186" s="93">
        <f>ROUND(IF(Calcul1!V222&lt;$K$8,$K$8,Calcul1!V222),5)</f>
        <v>5.3999999999999999E-2</v>
      </c>
    </row>
    <row r="187" spans="13:14">
      <c r="M187" s="86">
        <v>1.77</v>
      </c>
      <c r="N187" s="93">
        <f>ROUND(IF(Calcul1!V223&lt;$K$8,$K$8,Calcul1!V223),5)</f>
        <v>5.3999999999999999E-2</v>
      </c>
    </row>
    <row r="188" spans="13:14">
      <c r="M188" s="86">
        <v>1.78</v>
      </c>
      <c r="N188" s="93">
        <f>ROUND(IF(Calcul1!V224&lt;$K$8,$K$8,Calcul1!V224),5)</f>
        <v>5.3999999999999999E-2</v>
      </c>
    </row>
    <row r="189" spans="13:14">
      <c r="M189" s="86">
        <v>1.79</v>
      </c>
      <c r="N189" s="93">
        <f>ROUND(IF(Calcul1!V225&lt;$K$8,$K$8,Calcul1!V225),5)</f>
        <v>5.3999999999999999E-2</v>
      </c>
    </row>
    <row r="190" spans="13:14">
      <c r="M190" s="86">
        <v>1.8</v>
      </c>
      <c r="N190" s="93">
        <f>ROUND(IF(Calcul1!V226&lt;$K$8,$K$8,Calcul1!V226),5)</f>
        <v>5.3999999999999999E-2</v>
      </c>
    </row>
    <row r="191" spans="13:14">
      <c r="M191" s="86">
        <v>1.81</v>
      </c>
      <c r="N191" s="93">
        <f>ROUND(IF(Calcul1!V227&lt;$K$8,$K$8,Calcul1!V227),5)</f>
        <v>5.3999999999999999E-2</v>
      </c>
    </row>
    <row r="192" spans="13:14">
      <c r="M192" s="86">
        <v>1.82</v>
      </c>
      <c r="N192" s="93">
        <f>ROUND(IF(Calcul1!V228&lt;$K$8,$K$8,Calcul1!V228),5)</f>
        <v>5.3999999999999999E-2</v>
      </c>
    </row>
    <row r="193" spans="13:14">
      <c r="M193" s="86">
        <v>1.83</v>
      </c>
      <c r="N193" s="93">
        <f>ROUND(IF(Calcul1!V229&lt;$K$8,$K$8,Calcul1!V229),5)</f>
        <v>5.3999999999999999E-2</v>
      </c>
    </row>
    <row r="194" spans="13:14">
      <c r="M194" s="86">
        <v>1.84</v>
      </c>
      <c r="N194" s="93">
        <f>ROUND(IF(Calcul1!V230&lt;$K$8,$K$8,Calcul1!V230),5)</f>
        <v>5.3999999999999999E-2</v>
      </c>
    </row>
    <row r="195" spans="13:14">
      <c r="M195" s="86">
        <v>1.85</v>
      </c>
      <c r="N195" s="93">
        <f>ROUND(IF(Calcul1!V231&lt;$K$8,$K$8,Calcul1!V231),5)</f>
        <v>5.3999999999999999E-2</v>
      </c>
    </row>
    <row r="196" spans="13:14">
      <c r="M196" s="86">
        <v>1.86</v>
      </c>
      <c r="N196" s="93">
        <f>ROUND(IF(Calcul1!V232&lt;$K$8,$K$8,Calcul1!V232),5)</f>
        <v>5.3999999999999999E-2</v>
      </c>
    </row>
    <row r="197" spans="13:14">
      <c r="M197" s="86">
        <v>1.87</v>
      </c>
      <c r="N197" s="93">
        <f>ROUND(IF(Calcul1!V233&lt;$K$8,$K$8,Calcul1!V233),5)</f>
        <v>5.3999999999999999E-2</v>
      </c>
    </row>
    <row r="198" spans="13:14">
      <c r="M198" s="86">
        <v>1.88</v>
      </c>
      <c r="N198" s="93">
        <f>ROUND(IF(Calcul1!V234&lt;$K$8,$K$8,Calcul1!V234),5)</f>
        <v>5.3999999999999999E-2</v>
      </c>
    </row>
    <row r="199" spans="13:14">
      <c r="M199" s="86">
        <v>1.89</v>
      </c>
      <c r="N199" s="93">
        <f>ROUND(IF(Calcul1!V235&lt;$K$8,$K$8,Calcul1!V235),5)</f>
        <v>5.3999999999999999E-2</v>
      </c>
    </row>
    <row r="200" spans="13:14">
      <c r="M200" s="86">
        <v>1.9</v>
      </c>
      <c r="N200" s="93">
        <f>ROUND(IF(Calcul1!V236&lt;$K$8,$K$8,Calcul1!V236),5)</f>
        <v>5.3999999999999999E-2</v>
      </c>
    </row>
    <row r="201" spans="13:14">
      <c r="M201" s="86">
        <v>1.91</v>
      </c>
      <c r="N201" s="93">
        <f>ROUND(IF(Calcul1!V237&lt;$K$8,$K$8,Calcul1!V237),5)</f>
        <v>5.3999999999999999E-2</v>
      </c>
    </row>
    <row r="202" spans="13:14">
      <c r="M202" s="86">
        <v>1.92</v>
      </c>
      <c r="N202" s="93">
        <f>ROUND(IF(Calcul1!V238&lt;$K$8,$K$8,Calcul1!V238),5)</f>
        <v>5.3999999999999999E-2</v>
      </c>
    </row>
    <row r="203" spans="13:14">
      <c r="M203" s="86">
        <v>1.93</v>
      </c>
      <c r="N203" s="93">
        <f>ROUND(IF(Calcul1!V239&lt;$K$8,$K$8,Calcul1!V239),5)</f>
        <v>5.3999999999999999E-2</v>
      </c>
    </row>
    <row r="204" spans="13:14">
      <c r="M204" s="86">
        <v>1.94</v>
      </c>
      <c r="N204" s="93">
        <f>ROUND(IF(Calcul1!V240&lt;$K$8,$K$8,Calcul1!V240),5)</f>
        <v>5.3999999999999999E-2</v>
      </c>
    </row>
    <row r="205" spans="13:14">
      <c r="M205" s="86">
        <v>1.95</v>
      </c>
      <c r="N205" s="93">
        <f>ROUND(IF(Calcul1!V241&lt;$K$8,$K$8,Calcul1!V241),5)</f>
        <v>5.3999999999999999E-2</v>
      </c>
    </row>
    <row r="206" spans="13:14">
      <c r="M206" s="86">
        <v>1.96</v>
      </c>
      <c r="N206" s="93">
        <f>ROUND(IF(Calcul1!V242&lt;$K$8,$K$8,Calcul1!V242),5)</f>
        <v>5.3999999999999999E-2</v>
      </c>
    </row>
    <row r="207" spans="13:14">
      <c r="M207" s="86">
        <v>1.97</v>
      </c>
      <c r="N207" s="93">
        <f>ROUND(IF(Calcul1!V243&lt;$K$8,$K$8,Calcul1!V243),5)</f>
        <v>5.3999999999999999E-2</v>
      </c>
    </row>
    <row r="208" spans="13:14">
      <c r="M208" s="86">
        <v>1.98</v>
      </c>
      <c r="N208" s="93">
        <f>ROUND(IF(Calcul1!V244&lt;$K$8,$K$8,Calcul1!V244),5)</f>
        <v>5.3999999999999999E-2</v>
      </c>
    </row>
    <row r="209" spans="13:14">
      <c r="M209" s="86">
        <v>1.99</v>
      </c>
      <c r="N209" s="93">
        <f>ROUND(IF(Calcul1!V245&lt;$K$8,$K$8,Calcul1!V245),5)</f>
        <v>5.3999999999999999E-2</v>
      </c>
    </row>
    <row r="210" spans="13:14">
      <c r="M210" s="86">
        <v>2</v>
      </c>
      <c r="N210" s="93">
        <f>ROUND(IF(Calcul1!V246&lt;$K$8,$K$8,Calcul1!V246),5)</f>
        <v>5.3999999999999999E-2</v>
      </c>
    </row>
    <row r="211" spans="13:14">
      <c r="M211" s="86">
        <v>2.0099999999999998</v>
      </c>
      <c r="N211" s="93">
        <f>ROUND(IF(Calcul1!V247&lt;$K$8,$K$8,Calcul1!V247),5)</f>
        <v>5.3999999999999999E-2</v>
      </c>
    </row>
    <row r="212" spans="13:14">
      <c r="M212" s="86">
        <v>2.02</v>
      </c>
      <c r="N212" s="93">
        <f>ROUND(IF(Calcul1!V248&lt;$K$8,$K$8,Calcul1!V248),5)</f>
        <v>5.3999999999999999E-2</v>
      </c>
    </row>
    <row r="213" spans="13:14">
      <c r="M213" s="86">
        <v>2.0299999999999998</v>
      </c>
      <c r="N213" s="93">
        <f>ROUND(IF(Calcul1!V249&lt;$K$8,$K$8,Calcul1!V249),5)</f>
        <v>5.3999999999999999E-2</v>
      </c>
    </row>
    <row r="214" spans="13:14">
      <c r="M214" s="86">
        <v>2.04</v>
      </c>
      <c r="N214" s="93">
        <f>ROUND(IF(Calcul1!V250&lt;$K$8,$K$8,Calcul1!V250),5)</f>
        <v>5.3999999999999999E-2</v>
      </c>
    </row>
    <row r="215" spans="13:14">
      <c r="M215" s="86">
        <v>2.0499999999999998</v>
      </c>
      <c r="N215" s="93">
        <f>ROUND(IF(Calcul1!V251&lt;$K$8,$K$8,Calcul1!V251),5)</f>
        <v>5.3999999999999999E-2</v>
      </c>
    </row>
    <row r="216" spans="13:14">
      <c r="M216" s="86">
        <v>2.06</v>
      </c>
      <c r="N216" s="93">
        <f>ROUND(IF(Calcul1!V252&lt;$K$8,$K$8,Calcul1!V252),5)</f>
        <v>5.3999999999999999E-2</v>
      </c>
    </row>
    <row r="217" spans="13:14">
      <c r="M217" s="86">
        <v>2.0699999999999998</v>
      </c>
      <c r="N217" s="93">
        <f>ROUND(IF(Calcul1!V253&lt;$K$8,$K$8,Calcul1!V253),5)</f>
        <v>5.3999999999999999E-2</v>
      </c>
    </row>
    <row r="218" spans="13:14">
      <c r="M218" s="86">
        <v>2.08</v>
      </c>
      <c r="N218" s="93">
        <f>ROUND(IF(Calcul1!V254&lt;$K$8,$K$8,Calcul1!V254),5)</f>
        <v>5.3999999999999999E-2</v>
      </c>
    </row>
    <row r="219" spans="13:14">
      <c r="M219" s="86">
        <v>2.09</v>
      </c>
      <c r="N219" s="93">
        <f>ROUND(IF(Calcul1!V255&lt;$K$8,$K$8,Calcul1!V255),5)</f>
        <v>5.3999999999999999E-2</v>
      </c>
    </row>
    <row r="220" spans="13:14">
      <c r="M220" s="86">
        <v>2.1</v>
      </c>
      <c r="N220" s="93">
        <f>ROUND(IF(Calcul1!V256&lt;$K$8,$K$8,Calcul1!V256),5)</f>
        <v>5.3999999999999999E-2</v>
      </c>
    </row>
    <row r="221" spans="13:14">
      <c r="M221" s="86">
        <v>2.11</v>
      </c>
      <c r="N221" s="93">
        <f>ROUND(IF(Calcul1!V257&lt;$K$8,$K$8,Calcul1!V257),5)</f>
        <v>5.3999999999999999E-2</v>
      </c>
    </row>
    <row r="222" spans="13:14">
      <c r="M222" s="86">
        <v>2.12</v>
      </c>
      <c r="N222" s="93">
        <f>ROUND(IF(Calcul1!V258&lt;$K$8,$K$8,Calcul1!V258),5)</f>
        <v>5.3999999999999999E-2</v>
      </c>
    </row>
    <row r="223" spans="13:14">
      <c r="M223" s="86">
        <v>2.13</v>
      </c>
      <c r="N223" s="93">
        <f>ROUND(IF(Calcul1!V259&lt;$K$8,$K$8,Calcul1!V259),5)</f>
        <v>5.3999999999999999E-2</v>
      </c>
    </row>
    <row r="224" spans="13:14">
      <c r="M224" s="86">
        <v>2.14</v>
      </c>
      <c r="N224" s="93">
        <f>ROUND(IF(Calcul1!V260&lt;$K$8,$K$8,Calcul1!V260),5)</f>
        <v>5.3999999999999999E-2</v>
      </c>
    </row>
    <row r="225" spans="13:14">
      <c r="M225" s="86">
        <v>2.15</v>
      </c>
      <c r="N225" s="93">
        <f>ROUND(IF(Calcul1!V261&lt;$K$8,$K$8,Calcul1!V261),5)</f>
        <v>5.3999999999999999E-2</v>
      </c>
    </row>
    <row r="226" spans="13:14">
      <c r="M226" s="86">
        <v>2.16</v>
      </c>
      <c r="N226" s="93">
        <f>ROUND(IF(Calcul1!V262&lt;$K$8,$K$8,Calcul1!V262),5)</f>
        <v>5.3999999999999999E-2</v>
      </c>
    </row>
    <row r="227" spans="13:14">
      <c r="M227" s="86">
        <v>2.17</v>
      </c>
      <c r="N227" s="93">
        <f>ROUND(IF(Calcul1!V263&lt;$K$8,$K$8,Calcul1!V263),5)</f>
        <v>5.3999999999999999E-2</v>
      </c>
    </row>
    <row r="228" spans="13:14">
      <c r="M228" s="86">
        <v>2.1800000000000002</v>
      </c>
      <c r="N228" s="93">
        <f>ROUND(IF(Calcul1!V264&lt;$K$8,$K$8,Calcul1!V264),5)</f>
        <v>5.3999999999999999E-2</v>
      </c>
    </row>
    <row r="229" spans="13:14">
      <c r="M229" s="86">
        <v>2.19</v>
      </c>
      <c r="N229" s="93">
        <f>ROUND(IF(Calcul1!V265&lt;$K$8,$K$8,Calcul1!V265),5)</f>
        <v>5.3999999999999999E-2</v>
      </c>
    </row>
    <row r="230" spans="13:14">
      <c r="M230" s="86">
        <v>2.2000000000000002</v>
      </c>
      <c r="N230" s="93">
        <f>ROUND(IF(Calcul1!V266&lt;$K$8,$K$8,Calcul1!V266),5)</f>
        <v>5.3999999999999999E-2</v>
      </c>
    </row>
    <row r="231" spans="13:14">
      <c r="M231" s="86">
        <v>2.21</v>
      </c>
      <c r="N231" s="93">
        <f>ROUND(IF(Calcul1!V267&lt;$K$8,$K$8,Calcul1!V267),5)</f>
        <v>5.3999999999999999E-2</v>
      </c>
    </row>
    <row r="232" spans="13:14">
      <c r="M232" s="86">
        <v>2.2200000000000002</v>
      </c>
      <c r="N232" s="93">
        <f>ROUND(IF(Calcul1!V268&lt;$K$8,$K$8,Calcul1!V268),5)</f>
        <v>5.3999999999999999E-2</v>
      </c>
    </row>
    <row r="233" spans="13:14">
      <c r="M233" s="86">
        <v>2.23</v>
      </c>
      <c r="N233" s="93">
        <f>ROUND(IF(Calcul1!V269&lt;$K$8,$K$8,Calcul1!V269),5)</f>
        <v>5.3999999999999999E-2</v>
      </c>
    </row>
    <row r="234" spans="13:14">
      <c r="M234" s="86">
        <v>2.2400000000000002</v>
      </c>
      <c r="N234" s="93">
        <f>ROUND(IF(Calcul1!V270&lt;$K$8,$K$8,Calcul1!V270),5)</f>
        <v>5.3999999999999999E-2</v>
      </c>
    </row>
    <row r="235" spans="13:14">
      <c r="M235" s="86">
        <v>2.25</v>
      </c>
      <c r="N235" s="93">
        <f>ROUND(IF(Calcul1!V271&lt;$K$8,$K$8,Calcul1!V271),5)</f>
        <v>5.3999999999999999E-2</v>
      </c>
    </row>
    <row r="236" spans="13:14">
      <c r="M236" s="86">
        <v>2.2599999999999998</v>
      </c>
      <c r="N236" s="93">
        <f>ROUND(IF(Calcul1!V272&lt;$K$8,$K$8,Calcul1!V272),5)</f>
        <v>5.3999999999999999E-2</v>
      </c>
    </row>
    <row r="237" spans="13:14">
      <c r="M237" s="86">
        <v>2.27</v>
      </c>
      <c r="N237" s="93">
        <f>ROUND(IF(Calcul1!V273&lt;$K$8,$K$8,Calcul1!V273),5)</f>
        <v>5.3999999999999999E-2</v>
      </c>
    </row>
    <row r="238" spans="13:14">
      <c r="M238" s="86">
        <v>2.2799999999999998</v>
      </c>
      <c r="N238" s="93">
        <f>ROUND(IF(Calcul1!V274&lt;$K$8,$K$8,Calcul1!V274),5)</f>
        <v>5.3999999999999999E-2</v>
      </c>
    </row>
    <row r="239" spans="13:14">
      <c r="M239" s="86">
        <v>2.29</v>
      </c>
      <c r="N239" s="93">
        <f>ROUND(IF(Calcul1!V275&lt;$K$8,$K$8,Calcul1!V275),5)</f>
        <v>5.3999999999999999E-2</v>
      </c>
    </row>
    <row r="240" spans="13:14">
      <c r="M240" s="86">
        <v>2.2999999999999998</v>
      </c>
      <c r="N240" s="93">
        <f>ROUND(IF(Calcul1!V276&lt;$K$8,$K$8,Calcul1!V276),5)</f>
        <v>5.3999999999999999E-2</v>
      </c>
    </row>
    <row r="241" spans="13:14">
      <c r="M241" s="86">
        <v>2.31</v>
      </c>
      <c r="N241" s="93">
        <f>ROUND(IF(Calcul1!V277&lt;$K$8,$K$8,Calcul1!V277),5)</f>
        <v>5.3999999999999999E-2</v>
      </c>
    </row>
    <row r="242" spans="13:14">
      <c r="M242" s="86">
        <v>2.3199999999999998</v>
      </c>
      <c r="N242" s="93">
        <f>ROUND(IF(Calcul1!V278&lt;$K$8,$K$8,Calcul1!V278),5)</f>
        <v>5.3999999999999999E-2</v>
      </c>
    </row>
    <row r="243" spans="13:14">
      <c r="M243" s="86">
        <v>2.33</v>
      </c>
      <c r="N243" s="93">
        <f>ROUND(IF(Calcul1!V279&lt;$K$8,$K$8,Calcul1!V279),5)</f>
        <v>5.3999999999999999E-2</v>
      </c>
    </row>
    <row r="244" spans="13:14">
      <c r="M244" s="86">
        <v>2.34</v>
      </c>
      <c r="N244" s="93">
        <f>ROUND(IF(Calcul1!V280&lt;$K$8,$K$8,Calcul1!V280),5)</f>
        <v>5.3999999999999999E-2</v>
      </c>
    </row>
    <row r="245" spans="13:14">
      <c r="M245" s="86">
        <v>2.35</v>
      </c>
      <c r="N245" s="93">
        <f>ROUND(IF(Calcul1!V281&lt;$K$8,$K$8,Calcul1!V281),5)</f>
        <v>5.3999999999999999E-2</v>
      </c>
    </row>
    <row r="246" spans="13:14">
      <c r="M246" s="86">
        <v>2.36</v>
      </c>
      <c r="N246" s="93">
        <f>ROUND(IF(Calcul1!V282&lt;$K$8,$K$8,Calcul1!V282),5)</f>
        <v>5.3999999999999999E-2</v>
      </c>
    </row>
    <row r="247" spans="13:14">
      <c r="M247" s="86">
        <v>2.37</v>
      </c>
      <c r="N247" s="93">
        <f>ROUND(IF(Calcul1!V283&lt;$K$8,$K$8,Calcul1!V283),5)</f>
        <v>5.3999999999999999E-2</v>
      </c>
    </row>
    <row r="248" spans="13:14">
      <c r="M248" s="86">
        <v>2.38</v>
      </c>
      <c r="N248" s="93">
        <f>ROUND(IF(Calcul1!V284&lt;$K$8,$K$8,Calcul1!V284),5)</f>
        <v>5.3999999999999999E-2</v>
      </c>
    </row>
    <row r="249" spans="13:14">
      <c r="M249" s="86">
        <v>2.39</v>
      </c>
      <c r="N249" s="93">
        <f>ROUND(IF(Calcul1!V285&lt;$K$8,$K$8,Calcul1!V285),5)</f>
        <v>5.3999999999999999E-2</v>
      </c>
    </row>
    <row r="250" spans="13:14">
      <c r="M250" s="86">
        <v>2.4</v>
      </c>
      <c r="N250" s="93">
        <f>ROUND(IF(Calcul1!V286&lt;$K$8,$K$8,Calcul1!V286),5)</f>
        <v>5.3999999999999999E-2</v>
      </c>
    </row>
    <row r="251" spans="13:14">
      <c r="M251" s="86">
        <v>2.41</v>
      </c>
      <c r="N251" s="93">
        <f>ROUND(IF(Calcul1!V287&lt;$K$8,$K$8,Calcul1!V287),5)</f>
        <v>5.3999999999999999E-2</v>
      </c>
    </row>
    <row r="252" spans="13:14">
      <c r="M252" s="86">
        <v>2.42</v>
      </c>
      <c r="N252" s="93">
        <f>ROUND(IF(Calcul1!V288&lt;$K$8,$K$8,Calcul1!V288),5)</f>
        <v>5.3999999999999999E-2</v>
      </c>
    </row>
    <row r="253" spans="13:14">
      <c r="M253" s="86">
        <v>2.4300000000000002</v>
      </c>
      <c r="N253" s="93">
        <f>ROUND(IF(Calcul1!V289&lt;$K$8,$K$8,Calcul1!V289),5)</f>
        <v>5.3999999999999999E-2</v>
      </c>
    </row>
    <row r="254" spans="13:14">
      <c r="M254" s="86">
        <v>2.44</v>
      </c>
      <c r="N254" s="93">
        <f>ROUND(IF(Calcul1!V290&lt;$K$8,$K$8,Calcul1!V290),5)</f>
        <v>5.3999999999999999E-2</v>
      </c>
    </row>
    <row r="255" spans="13:14">
      <c r="M255" s="86">
        <v>2.4500000000000002</v>
      </c>
      <c r="N255" s="93">
        <f>ROUND(IF(Calcul1!V291&lt;$K$8,$K$8,Calcul1!V291),5)</f>
        <v>5.3999999999999999E-2</v>
      </c>
    </row>
    <row r="256" spans="13:14">
      <c r="M256" s="86">
        <v>2.46</v>
      </c>
      <c r="N256" s="93">
        <f>ROUND(IF(Calcul1!V292&lt;$K$8,$K$8,Calcul1!V292),5)</f>
        <v>5.3999999999999999E-2</v>
      </c>
    </row>
    <row r="257" spans="13:14">
      <c r="M257" s="86">
        <v>2.4700000000000002</v>
      </c>
      <c r="N257" s="93">
        <f>ROUND(IF(Calcul1!V293&lt;$K$8,$K$8,Calcul1!V293),5)</f>
        <v>5.3999999999999999E-2</v>
      </c>
    </row>
    <row r="258" spans="13:14">
      <c r="M258" s="86">
        <v>2.48</v>
      </c>
      <c r="N258" s="93">
        <f>ROUND(IF(Calcul1!V294&lt;$K$8,$K$8,Calcul1!V294),5)</f>
        <v>5.3999999999999999E-2</v>
      </c>
    </row>
    <row r="259" spans="13:14">
      <c r="M259" s="86">
        <v>2.4900000000000002</v>
      </c>
      <c r="N259" s="93">
        <f>ROUND(IF(Calcul1!V295&lt;$K$8,$K$8,Calcul1!V295),5)</f>
        <v>5.3999999999999999E-2</v>
      </c>
    </row>
    <row r="260" spans="13:14">
      <c r="M260" s="86">
        <v>2.5</v>
      </c>
      <c r="N260" s="93">
        <f>ROUND(IF(Calcul1!V296&lt;$K$8,$K$8,Calcul1!V296),5)</f>
        <v>5.3999999999999999E-2</v>
      </c>
    </row>
    <row r="261" spans="13:14">
      <c r="M261" s="86">
        <v>2.5099999999999998</v>
      </c>
      <c r="N261" s="93">
        <f>ROUND(IF(Calcul1!V297&lt;$K$8,$K$8,Calcul1!V297),5)</f>
        <v>5.3999999999999999E-2</v>
      </c>
    </row>
    <row r="262" spans="13:14">
      <c r="M262" s="86">
        <v>2.52</v>
      </c>
      <c r="N262" s="93">
        <f>ROUND(IF(Calcul1!V298&lt;$K$8,$K$8,Calcul1!V298),5)</f>
        <v>5.3999999999999999E-2</v>
      </c>
    </row>
    <row r="263" spans="13:14">
      <c r="M263" s="86">
        <v>2.5299999999999998</v>
      </c>
      <c r="N263" s="93">
        <f>ROUND(IF(Calcul1!V299&lt;$K$8,$K$8,Calcul1!V299),5)</f>
        <v>5.3999999999999999E-2</v>
      </c>
    </row>
    <row r="264" spans="13:14">
      <c r="M264" s="86">
        <v>2.54</v>
      </c>
      <c r="N264" s="93">
        <f>ROUND(IF(Calcul1!V300&lt;$K$8,$K$8,Calcul1!V300),5)</f>
        <v>5.3999999999999999E-2</v>
      </c>
    </row>
    <row r="265" spans="13:14">
      <c r="M265" s="86">
        <v>2.5499999999999998</v>
      </c>
      <c r="N265" s="93">
        <f>ROUND(IF(Calcul1!V301&lt;$K$8,$K$8,Calcul1!V301),5)</f>
        <v>5.3999999999999999E-2</v>
      </c>
    </row>
    <row r="266" spans="13:14">
      <c r="M266" s="86">
        <v>2.56</v>
      </c>
      <c r="N266" s="93">
        <f>ROUND(IF(Calcul1!V302&lt;$K$8,$K$8,Calcul1!V302),5)</f>
        <v>5.3999999999999999E-2</v>
      </c>
    </row>
    <row r="267" spans="13:14">
      <c r="M267" s="86">
        <v>2.57</v>
      </c>
      <c r="N267" s="93">
        <f>ROUND(IF(Calcul1!V303&lt;$K$8,$K$8,Calcul1!V303),5)</f>
        <v>5.3999999999999999E-2</v>
      </c>
    </row>
    <row r="268" spans="13:14">
      <c r="M268" s="86">
        <v>2.58</v>
      </c>
      <c r="N268" s="93">
        <f>ROUND(IF(Calcul1!V304&lt;$K$8,$K$8,Calcul1!V304),5)</f>
        <v>5.3999999999999999E-2</v>
      </c>
    </row>
    <row r="269" spans="13:14">
      <c r="M269" s="86">
        <v>2.59</v>
      </c>
      <c r="N269" s="93">
        <f>ROUND(IF(Calcul1!V305&lt;$K$8,$K$8,Calcul1!V305),5)</f>
        <v>5.3999999999999999E-2</v>
      </c>
    </row>
    <row r="270" spans="13:14">
      <c r="M270" s="86">
        <v>2.6</v>
      </c>
      <c r="N270" s="93">
        <f>ROUND(IF(Calcul1!V306&lt;$K$8,$K$8,Calcul1!V306),5)</f>
        <v>5.3999999999999999E-2</v>
      </c>
    </row>
    <row r="271" spans="13:14">
      <c r="M271" s="86">
        <v>2.61</v>
      </c>
      <c r="N271" s="93">
        <f>ROUND(IF(Calcul1!V307&lt;$K$8,$K$8,Calcul1!V307),5)</f>
        <v>5.3999999999999999E-2</v>
      </c>
    </row>
    <row r="272" spans="13:14">
      <c r="M272" s="86">
        <v>2.62</v>
      </c>
      <c r="N272" s="93">
        <f>ROUND(IF(Calcul1!V308&lt;$K$8,$K$8,Calcul1!V308),5)</f>
        <v>5.3999999999999999E-2</v>
      </c>
    </row>
    <row r="273" spans="13:14">
      <c r="M273" s="86">
        <v>2.63</v>
      </c>
      <c r="N273" s="93">
        <f>ROUND(IF(Calcul1!V309&lt;$K$8,$K$8,Calcul1!V309),5)</f>
        <v>5.3999999999999999E-2</v>
      </c>
    </row>
    <row r="274" spans="13:14">
      <c r="M274" s="86">
        <v>2.64</v>
      </c>
      <c r="N274" s="93">
        <f>ROUND(IF(Calcul1!V310&lt;$K$8,$K$8,Calcul1!V310),5)</f>
        <v>5.3999999999999999E-2</v>
      </c>
    </row>
    <row r="275" spans="13:14">
      <c r="M275" s="86">
        <v>2.65</v>
      </c>
      <c r="N275" s="93">
        <f>ROUND(IF(Calcul1!V311&lt;$K$8,$K$8,Calcul1!V311),5)</f>
        <v>5.3999999999999999E-2</v>
      </c>
    </row>
    <row r="276" spans="13:14">
      <c r="M276" s="86">
        <v>2.66</v>
      </c>
      <c r="N276" s="93">
        <f>ROUND(IF(Calcul1!V312&lt;$K$8,$K$8,Calcul1!V312),5)</f>
        <v>5.3999999999999999E-2</v>
      </c>
    </row>
    <row r="277" spans="13:14">
      <c r="M277" s="86">
        <v>2.67</v>
      </c>
      <c r="N277" s="93">
        <f>ROUND(IF(Calcul1!V313&lt;$K$8,$K$8,Calcul1!V313),5)</f>
        <v>5.3999999999999999E-2</v>
      </c>
    </row>
    <row r="278" spans="13:14">
      <c r="M278" s="86">
        <v>2.68</v>
      </c>
      <c r="N278" s="93">
        <f>ROUND(IF(Calcul1!V314&lt;$K$8,$K$8,Calcul1!V314),5)</f>
        <v>5.3999999999999999E-2</v>
      </c>
    </row>
    <row r="279" spans="13:14">
      <c r="M279" s="86">
        <v>2.69</v>
      </c>
      <c r="N279" s="93">
        <f>ROUND(IF(Calcul1!V315&lt;$K$8,$K$8,Calcul1!V315),5)</f>
        <v>5.3999999999999999E-2</v>
      </c>
    </row>
    <row r="280" spans="13:14">
      <c r="M280" s="86">
        <v>2.7</v>
      </c>
      <c r="N280" s="93">
        <f>ROUND(IF(Calcul1!V316&lt;$K$8,$K$8,Calcul1!V316),5)</f>
        <v>5.3999999999999999E-2</v>
      </c>
    </row>
    <row r="281" spans="13:14">
      <c r="M281" s="86">
        <v>2.71</v>
      </c>
      <c r="N281" s="93">
        <f>ROUND(IF(Calcul1!V317&lt;$K$8,$K$8,Calcul1!V317),5)</f>
        <v>5.3999999999999999E-2</v>
      </c>
    </row>
    <row r="282" spans="13:14">
      <c r="M282" s="86">
        <v>2.72</v>
      </c>
      <c r="N282" s="93">
        <f>ROUND(IF(Calcul1!V318&lt;$K$8,$K$8,Calcul1!V318),5)</f>
        <v>5.3999999999999999E-2</v>
      </c>
    </row>
    <row r="283" spans="13:14">
      <c r="M283" s="86">
        <v>2.73</v>
      </c>
      <c r="N283" s="93">
        <f>ROUND(IF(Calcul1!V319&lt;$K$8,$K$8,Calcul1!V319),5)</f>
        <v>5.3999999999999999E-2</v>
      </c>
    </row>
    <row r="284" spans="13:14">
      <c r="M284" s="86">
        <v>2.74</v>
      </c>
      <c r="N284" s="93">
        <f>ROUND(IF(Calcul1!V320&lt;$K$8,$K$8,Calcul1!V320),5)</f>
        <v>5.3999999999999999E-2</v>
      </c>
    </row>
    <row r="285" spans="13:14">
      <c r="M285" s="86">
        <v>2.75</v>
      </c>
      <c r="N285" s="93">
        <f>ROUND(IF(Calcul1!V321&lt;$K$8,$K$8,Calcul1!V321),5)</f>
        <v>5.3999999999999999E-2</v>
      </c>
    </row>
    <row r="286" spans="13:14">
      <c r="M286" s="86">
        <v>2.76</v>
      </c>
      <c r="N286" s="93">
        <f>ROUND(IF(Calcul1!V322&lt;$K$8,$K$8,Calcul1!V322),5)</f>
        <v>5.3999999999999999E-2</v>
      </c>
    </row>
    <row r="287" spans="13:14">
      <c r="M287" s="86">
        <v>2.77</v>
      </c>
      <c r="N287" s="93">
        <f>ROUND(IF(Calcul1!V323&lt;$K$8,$K$8,Calcul1!V323),5)</f>
        <v>5.3999999999999999E-2</v>
      </c>
    </row>
    <row r="288" spans="13:14">
      <c r="M288" s="86">
        <v>2.78</v>
      </c>
      <c r="N288" s="93">
        <f>ROUND(IF(Calcul1!V324&lt;$K$8,$K$8,Calcul1!V324),5)</f>
        <v>5.3999999999999999E-2</v>
      </c>
    </row>
    <row r="289" spans="13:14">
      <c r="M289" s="86">
        <v>2.79</v>
      </c>
      <c r="N289" s="93">
        <f>ROUND(IF(Calcul1!V325&lt;$K$8,$K$8,Calcul1!V325),5)</f>
        <v>5.3999999999999999E-2</v>
      </c>
    </row>
    <row r="290" spans="13:14">
      <c r="M290" s="86">
        <v>2.8</v>
      </c>
      <c r="N290" s="93">
        <f>ROUND(IF(Calcul1!V326&lt;$K$8,$K$8,Calcul1!V326),5)</f>
        <v>5.3999999999999999E-2</v>
      </c>
    </row>
    <row r="291" spans="13:14">
      <c r="M291" s="86">
        <v>2.81</v>
      </c>
      <c r="N291" s="93">
        <f>ROUND(IF(Calcul1!V327&lt;$K$8,$K$8,Calcul1!V327),5)</f>
        <v>5.3999999999999999E-2</v>
      </c>
    </row>
    <row r="292" spans="13:14">
      <c r="M292" s="86">
        <v>2.82</v>
      </c>
      <c r="N292" s="93">
        <f>ROUND(IF(Calcul1!V328&lt;$K$8,$K$8,Calcul1!V328),5)</f>
        <v>5.3999999999999999E-2</v>
      </c>
    </row>
    <row r="293" spans="13:14">
      <c r="M293" s="86">
        <v>2.83</v>
      </c>
      <c r="N293" s="93">
        <f>ROUND(IF(Calcul1!V329&lt;$K$8,$K$8,Calcul1!V329),5)</f>
        <v>5.3999999999999999E-2</v>
      </c>
    </row>
    <row r="294" spans="13:14">
      <c r="M294" s="86">
        <v>2.84</v>
      </c>
      <c r="N294" s="93">
        <f>ROUND(IF(Calcul1!V330&lt;$K$8,$K$8,Calcul1!V330),5)</f>
        <v>5.3999999999999999E-2</v>
      </c>
    </row>
    <row r="295" spans="13:14">
      <c r="M295" s="86">
        <v>2.85</v>
      </c>
      <c r="N295" s="93">
        <f>ROUND(IF(Calcul1!V331&lt;$K$8,$K$8,Calcul1!V331),5)</f>
        <v>5.3999999999999999E-2</v>
      </c>
    </row>
    <row r="296" spans="13:14">
      <c r="M296" s="86">
        <v>2.86</v>
      </c>
      <c r="N296" s="93">
        <f>ROUND(IF(Calcul1!V332&lt;$K$8,$K$8,Calcul1!V332),5)</f>
        <v>5.3999999999999999E-2</v>
      </c>
    </row>
    <row r="297" spans="13:14">
      <c r="M297" s="86">
        <v>2.87</v>
      </c>
      <c r="N297" s="93">
        <f>ROUND(IF(Calcul1!V333&lt;$K$8,$K$8,Calcul1!V333),5)</f>
        <v>5.3999999999999999E-2</v>
      </c>
    </row>
    <row r="298" spans="13:14">
      <c r="M298" s="86">
        <v>2.88</v>
      </c>
      <c r="N298" s="93">
        <f>ROUND(IF(Calcul1!V334&lt;$K$8,$K$8,Calcul1!V334),5)</f>
        <v>5.3999999999999999E-2</v>
      </c>
    </row>
    <row r="299" spans="13:14">
      <c r="M299" s="86">
        <v>2.89</v>
      </c>
      <c r="N299" s="93">
        <f>ROUND(IF(Calcul1!V335&lt;$K$8,$K$8,Calcul1!V335),5)</f>
        <v>5.3999999999999999E-2</v>
      </c>
    </row>
    <row r="300" spans="13:14">
      <c r="M300" s="86">
        <v>2.9</v>
      </c>
      <c r="N300" s="93">
        <f>ROUND(IF(Calcul1!V336&lt;$K$8,$K$8,Calcul1!V336),5)</f>
        <v>5.3999999999999999E-2</v>
      </c>
    </row>
    <row r="301" spans="13:14">
      <c r="M301" s="86">
        <v>2.91</v>
      </c>
      <c r="N301" s="93">
        <f>ROUND(IF(Calcul1!V337&lt;$K$8,$K$8,Calcul1!V337),5)</f>
        <v>5.3999999999999999E-2</v>
      </c>
    </row>
    <row r="302" spans="13:14">
      <c r="M302" s="86">
        <v>2.92</v>
      </c>
      <c r="N302" s="93">
        <f>ROUND(IF(Calcul1!V338&lt;$K$8,$K$8,Calcul1!V338),5)</f>
        <v>5.3999999999999999E-2</v>
      </c>
    </row>
    <row r="303" spans="13:14">
      <c r="M303" s="86">
        <v>2.93</v>
      </c>
      <c r="N303" s="93">
        <f>ROUND(IF(Calcul1!V339&lt;$K$8,$K$8,Calcul1!V339),5)</f>
        <v>5.3999999999999999E-2</v>
      </c>
    </row>
    <row r="304" spans="13:14">
      <c r="M304" s="86">
        <v>2.94</v>
      </c>
      <c r="N304" s="93">
        <f>ROUND(IF(Calcul1!V340&lt;$K$8,$K$8,Calcul1!V340),5)</f>
        <v>5.3999999999999999E-2</v>
      </c>
    </row>
    <row r="305" spans="13:14">
      <c r="M305" s="86">
        <v>2.95</v>
      </c>
      <c r="N305" s="93">
        <f>ROUND(IF(Calcul1!V341&lt;$K$8,$K$8,Calcul1!V341),5)</f>
        <v>5.3999999999999999E-2</v>
      </c>
    </row>
    <row r="306" spans="13:14">
      <c r="M306" s="86">
        <v>2.96</v>
      </c>
      <c r="N306" s="93">
        <f>ROUND(IF(Calcul1!V342&lt;$K$8,$K$8,Calcul1!V342),5)</f>
        <v>5.3999999999999999E-2</v>
      </c>
    </row>
    <row r="307" spans="13:14">
      <c r="M307" s="86">
        <v>2.97</v>
      </c>
      <c r="N307" s="93">
        <f>ROUND(IF(Calcul1!V343&lt;$K$8,$K$8,Calcul1!V343),5)</f>
        <v>5.3999999999999999E-2</v>
      </c>
    </row>
    <row r="308" spans="13:14">
      <c r="M308" s="86">
        <v>2.98</v>
      </c>
      <c r="N308" s="93">
        <f>ROUND(IF(Calcul1!V344&lt;$K$8,$K$8,Calcul1!V344),5)</f>
        <v>5.3999999999999999E-2</v>
      </c>
    </row>
    <row r="309" spans="13:14">
      <c r="M309" s="86">
        <v>2.99</v>
      </c>
      <c r="N309" s="93">
        <f>ROUND(IF(Calcul1!V345&lt;$K$8,$K$8,Calcul1!V345),5)</f>
        <v>5.3999999999999999E-2</v>
      </c>
    </row>
    <row r="310" spans="13:14">
      <c r="M310" s="86">
        <v>3</v>
      </c>
      <c r="N310" s="93">
        <f>ROUND(IF(Calcul1!V346&lt;$K$8,$K$8,Calcul1!V346),5)</f>
        <v>5.3999999999999999E-2</v>
      </c>
    </row>
    <row r="311" spans="13:14">
      <c r="M311" s="86">
        <v>3.01</v>
      </c>
      <c r="N311" s="93">
        <f>ROUND(IF(Calcul1!V347&lt;$K$8,$K$8,Calcul1!V347),5)</f>
        <v>5.3999999999999999E-2</v>
      </c>
    </row>
    <row r="312" spans="13:14">
      <c r="M312" s="86">
        <v>3.02</v>
      </c>
      <c r="N312" s="93">
        <f>ROUND(IF(Calcul1!V348&lt;$K$8,$K$8,Calcul1!V348),5)</f>
        <v>5.3999999999999999E-2</v>
      </c>
    </row>
    <row r="313" spans="13:14">
      <c r="M313" s="86">
        <v>3.03</v>
      </c>
      <c r="N313" s="93">
        <f>ROUND(IF(Calcul1!V349&lt;$K$8,$K$8,Calcul1!V349),5)</f>
        <v>5.3999999999999999E-2</v>
      </c>
    </row>
    <row r="314" spans="13:14">
      <c r="M314" s="86">
        <v>3.04</v>
      </c>
      <c r="N314" s="93">
        <f>ROUND(IF(Calcul1!V350&lt;$K$8,$K$8,Calcul1!V350),5)</f>
        <v>5.3999999999999999E-2</v>
      </c>
    </row>
    <row r="315" spans="13:14">
      <c r="M315" s="86">
        <v>3.05</v>
      </c>
      <c r="N315" s="93">
        <f>ROUND(IF(Calcul1!V351&lt;$K$8,$K$8,Calcul1!V351),5)</f>
        <v>5.3999999999999999E-2</v>
      </c>
    </row>
    <row r="316" spans="13:14">
      <c r="M316" s="86">
        <v>3.06</v>
      </c>
      <c r="N316" s="93">
        <f>ROUND(IF(Calcul1!V352&lt;$K$8,$K$8,Calcul1!V352),5)</f>
        <v>5.3999999999999999E-2</v>
      </c>
    </row>
    <row r="317" spans="13:14">
      <c r="M317" s="86">
        <v>3.07</v>
      </c>
      <c r="N317" s="93">
        <f>ROUND(IF(Calcul1!V353&lt;$K$8,$K$8,Calcul1!V353),5)</f>
        <v>5.3999999999999999E-2</v>
      </c>
    </row>
    <row r="318" spans="13:14">
      <c r="M318" s="86">
        <v>3.08</v>
      </c>
      <c r="N318" s="93">
        <f>ROUND(IF(Calcul1!V354&lt;$K$8,$K$8,Calcul1!V354),5)</f>
        <v>5.3999999999999999E-2</v>
      </c>
    </row>
    <row r="319" spans="13:14">
      <c r="M319" s="86">
        <v>3.09</v>
      </c>
      <c r="N319" s="93">
        <f>ROUND(IF(Calcul1!V355&lt;$K$8,$K$8,Calcul1!V355),5)</f>
        <v>5.3999999999999999E-2</v>
      </c>
    </row>
    <row r="320" spans="13:14">
      <c r="M320" s="86">
        <v>3.1</v>
      </c>
      <c r="N320" s="93">
        <f>ROUND(IF(Calcul1!V356&lt;$K$8,$K$8,Calcul1!V356),5)</f>
        <v>5.3999999999999999E-2</v>
      </c>
    </row>
    <row r="321" spans="13:14">
      <c r="M321" s="86">
        <v>3.11</v>
      </c>
      <c r="N321" s="93">
        <f>ROUND(IF(Calcul1!V357&lt;$K$8,$K$8,Calcul1!V357),5)</f>
        <v>5.3999999999999999E-2</v>
      </c>
    </row>
    <row r="322" spans="13:14">
      <c r="M322" s="86">
        <v>3.12</v>
      </c>
      <c r="N322" s="93">
        <f>ROUND(IF(Calcul1!V358&lt;$K$8,$K$8,Calcul1!V358),5)</f>
        <v>5.3999999999999999E-2</v>
      </c>
    </row>
    <row r="323" spans="13:14">
      <c r="M323" s="86">
        <v>3.13</v>
      </c>
      <c r="N323" s="93">
        <f>ROUND(IF(Calcul1!V359&lt;$K$8,$K$8,Calcul1!V359),5)</f>
        <v>5.3999999999999999E-2</v>
      </c>
    </row>
    <row r="324" spans="13:14">
      <c r="M324" s="86">
        <v>3.14</v>
      </c>
      <c r="N324" s="93">
        <f>ROUND(IF(Calcul1!V360&lt;$K$8,$K$8,Calcul1!V360),5)</f>
        <v>5.3999999999999999E-2</v>
      </c>
    </row>
    <row r="325" spans="13:14">
      <c r="M325" s="86">
        <v>3.15</v>
      </c>
      <c r="N325" s="93">
        <f>ROUND(IF(Calcul1!V361&lt;$K$8,$K$8,Calcul1!V361),5)</f>
        <v>5.3999999999999999E-2</v>
      </c>
    </row>
    <row r="326" spans="13:14">
      <c r="M326" s="86">
        <v>3.16</v>
      </c>
      <c r="N326" s="93">
        <f>ROUND(IF(Calcul1!V362&lt;$K$8,$K$8,Calcul1!V362),5)</f>
        <v>5.3999999999999999E-2</v>
      </c>
    </row>
    <row r="327" spans="13:14">
      <c r="M327" s="86">
        <v>3.17</v>
      </c>
      <c r="N327" s="93">
        <f>ROUND(IF(Calcul1!V363&lt;$K$8,$K$8,Calcul1!V363),5)</f>
        <v>5.3999999999999999E-2</v>
      </c>
    </row>
    <row r="328" spans="13:14">
      <c r="M328" s="86">
        <v>3.18</v>
      </c>
      <c r="N328" s="93">
        <f>ROUND(IF(Calcul1!V364&lt;$K$8,$K$8,Calcul1!V364),5)</f>
        <v>5.3999999999999999E-2</v>
      </c>
    </row>
    <row r="329" spans="13:14">
      <c r="M329" s="86">
        <v>3.19</v>
      </c>
      <c r="N329" s="93">
        <f>ROUND(IF(Calcul1!V365&lt;$K$8,$K$8,Calcul1!V365),5)</f>
        <v>5.3999999999999999E-2</v>
      </c>
    </row>
    <row r="330" spans="13:14">
      <c r="M330" s="86">
        <v>3.2</v>
      </c>
      <c r="N330" s="93">
        <f>ROUND(IF(Calcul1!V366&lt;$K$8,$K$8,Calcul1!V366),5)</f>
        <v>5.3999999999999999E-2</v>
      </c>
    </row>
    <row r="331" spans="13:14">
      <c r="M331" s="86">
        <v>3.21</v>
      </c>
      <c r="N331" s="93">
        <f>ROUND(IF(Calcul1!V367&lt;$K$8,$K$8,Calcul1!V367),5)</f>
        <v>5.3999999999999999E-2</v>
      </c>
    </row>
    <row r="332" spans="13:14">
      <c r="M332" s="86">
        <v>3.22</v>
      </c>
      <c r="N332" s="93">
        <f>ROUND(IF(Calcul1!V368&lt;$K$8,$K$8,Calcul1!V368),5)</f>
        <v>5.3999999999999999E-2</v>
      </c>
    </row>
    <row r="333" spans="13:14">
      <c r="M333" s="86">
        <v>3.23</v>
      </c>
      <c r="N333" s="93">
        <f>ROUND(IF(Calcul1!V369&lt;$K$8,$K$8,Calcul1!V369),5)</f>
        <v>5.3999999999999999E-2</v>
      </c>
    </row>
    <row r="334" spans="13:14">
      <c r="M334" s="86">
        <v>3.24</v>
      </c>
      <c r="N334" s="93">
        <f>ROUND(IF(Calcul1!V370&lt;$K$8,$K$8,Calcul1!V370),5)</f>
        <v>5.3999999999999999E-2</v>
      </c>
    </row>
    <row r="335" spans="13:14">
      <c r="M335" s="86">
        <v>3.25</v>
      </c>
      <c r="N335" s="93">
        <f>ROUND(IF(Calcul1!V371&lt;$K$8,$K$8,Calcul1!V371),5)</f>
        <v>5.3999999999999999E-2</v>
      </c>
    </row>
    <row r="336" spans="13:14">
      <c r="M336" s="86">
        <v>3.26</v>
      </c>
      <c r="N336" s="93">
        <f>ROUND(IF(Calcul1!V372&lt;$K$8,$K$8,Calcul1!V372),5)</f>
        <v>5.3999999999999999E-2</v>
      </c>
    </row>
    <row r="337" spans="13:14">
      <c r="M337" s="86">
        <v>3.27</v>
      </c>
      <c r="N337" s="93">
        <f>ROUND(IF(Calcul1!V373&lt;$K$8,$K$8,Calcul1!V373),5)</f>
        <v>5.3999999999999999E-2</v>
      </c>
    </row>
    <row r="338" spans="13:14">
      <c r="M338" s="86">
        <v>3.28</v>
      </c>
      <c r="N338" s="93">
        <f>ROUND(IF(Calcul1!V374&lt;$K$8,$K$8,Calcul1!V374),5)</f>
        <v>5.3999999999999999E-2</v>
      </c>
    </row>
    <row r="339" spans="13:14">
      <c r="M339" s="86">
        <v>3.29</v>
      </c>
      <c r="N339" s="93">
        <f>ROUND(IF(Calcul1!V375&lt;$K$8,$K$8,Calcul1!V375),5)</f>
        <v>5.3999999999999999E-2</v>
      </c>
    </row>
    <row r="340" spans="13:14">
      <c r="M340" s="86">
        <v>3.3</v>
      </c>
      <c r="N340" s="93">
        <f>ROUND(IF(Calcul1!V376&lt;$K$8,$K$8,Calcul1!V376),5)</f>
        <v>5.3999999999999999E-2</v>
      </c>
    </row>
    <row r="341" spans="13:14">
      <c r="M341" s="86">
        <v>3.31</v>
      </c>
      <c r="N341" s="93">
        <f>ROUND(IF(Calcul1!V377&lt;$K$8,$K$8,Calcul1!V377),5)</f>
        <v>5.3999999999999999E-2</v>
      </c>
    </row>
    <row r="342" spans="13:14">
      <c r="M342" s="86">
        <v>3.32</v>
      </c>
      <c r="N342" s="93">
        <f>ROUND(IF(Calcul1!V378&lt;$K$8,$K$8,Calcul1!V378),5)</f>
        <v>5.3999999999999999E-2</v>
      </c>
    </row>
    <row r="343" spans="13:14">
      <c r="M343" s="86">
        <v>3.33</v>
      </c>
      <c r="N343" s="93">
        <f>ROUND(IF(Calcul1!V379&lt;$K$8,$K$8,Calcul1!V379),5)</f>
        <v>5.3999999999999999E-2</v>
      </c>
    </row>
    <row r="344" spans="13:14">
      <c r="M344" s="86">
        <v>3.34</v>
      </c>
      <c r="N344" s="93">
        <f>ROUND(IF(Calcul1!V380&lt;$K$8,$K$8,Calcul1!V380),5)</f>
        <v>5.3999999999999999E-2</v>
      </c>
    </row>
    <row r="345" spans="13:14">
      <c r="M345" s="86">
        <v>3.35</v>
      </c>
      <c r="N345" s="93">
        <f>ROUND(IF(Calcul1!V381&lt;$K$8,$K$8,Calcul1!V381),5)</f>
        <v>5.3999999999999999E-2</v>
      </c>
    </row>
    <row r="346" spans="13:14">
      <c r="M346" s="86">
        <v>3.36</v>
      </c>
      <c r="N346" s="93">
        <f>ROUND(IF(Calcul1!V382&lt;$K$8,$K$8,Calcul1!V382),5)</f>
        <v>5.3999999999999999E-2</v>
      </c>
    </row>
    <row r="347" spans="13:14">
      <c r="M347" s="86">
        <v>3.37</v>
      </c>
      <c r="N347" s="93">
        <f>ROUND(IF(Calcul1!V383&lt;$K$8,$K$8,Calcul1!V383),5)</f>
        <v>5.3999999999999999E-2</v>
      </c>
    </row>
    <row r="348" spans="13:14">
      <c r="M348" s="86">
        <v>3.38</v>
      </c>
      <c r="N348" s="93">
        <f>ROUND(IF(Calcul1!V384&lt;$K$8,$K$8,Calcul1!V384),5)</f>
        <v>5.3999999999999999E-2</v>
      </c>
    </row>
    <row r="349" spans="13:14">
      <c r="M349" s="86">
        <v>3.39</v>
      </c>
      <c r="N349" s="93">
        <f>ROUND(IF(Calcul1!V385&lt;$K$8,$K$8,Calcul1!V385),5)</f>
        <v>5.3999999999999999E-2</v>
      </c>
    </row>
    <row r="350" spans="13:14">
      <c r="M350" s="86">
        <v>3.4</v>
      </c>
      <c r="N350" s="93">
        <f>ROUND(IF(Calcul1!V386&lt;$K$8,$K$8,Calcul1!V386),5)</f>
        <v>5.3999999999999999E-2</v>
      </c>
    </row>
    <row r="351" spans="13:14">
      <c r="M351" s="86">
        <v>3.41</v>
      </c>
      <c r="N351" s="93">
        <f>ROUND(IF(Calcul1!V387&lt;$K$8,$K$8,Calcul1!V387),5)</f>
        <v>5.3999999999999999E-2</v>
      </c>
    </row>
    <row r="352" spans="13:14">
      <c r="M352" s="86">
        <v>3.42</v>
      </c>
      <c r="N352" s="93">
        <f>ROUND(IF(Calcul1!V388&lt;$K$8,$K$8,Calcul1!V388),5)</f>
        <v>5.3999999999999999E-2</v>
      </c>
    </row>
    <row r="353" spans="13:14">
      <c r="M353" s="86">
        <v>3.43</v>
      </c>
      <c r="N353" s="93">
        <f>ROUND(IF(Calcul1!V389&lt;$K$8,$K$8,Calcul1!V389),5)</f>
        <v>5.3999999999999999E-2</v>
      </c>
    </row>
    <row r="354" spans="13:14">
      <c r="M354" s="86">
        <v>3.44</v>
      </c>
      <c r="N354" s="93">
        <f>ROUND(IF(Calcul1!V390&lt;$K$8,$K$8,Calcul1!V390),5)</f>
        <v>5.3999999999999999E-2</v>
      </c>
    </row>
    <row r="355" spans="13:14">
      <c r="M355" s="86">
        <v>3.45</v>
      </c>
      <c r="N355" s="93">
        <f>ROUND(IF(Calcul1!V391&lt;$K$8,$K$8,Calcul1!V391),5)</f>
        <v>5.3999999999999999E-2</v>
      </c>
    </row>
    <row r="356" spans="13:14">
      <c r="M356" s="86">
        <v>3.46</v>
      </c>
      <c r="N356" s="93">
        <f>ROUND(IF(Calcul1!V392&lt;$K$8,$K$8,Calcul1!V392),5)</f>
        <v>5.3999999999999999E-2</v>
      </c>
    </row>
    <row r="357" spans="13:14">
      <c r="M357" s="86">
        <v>3.47</v>
      </c>
      <c r="N357" s="93">
        <f>ROUND(IF(Calcul1!V393&lt;$K$8,$K$8,Calcul1!V393),5)</f>
        <v>5.3999999999999999E-2</v>
      </c>
    </row>
    <row r="358" spans="13:14">
      <c r="M358" s="86">
        <v>3.48</v>
      </c>
      <c r="N358" s="93">
        <f>ROUND(IF(Calcul1!V394&lt;$K$8,$K$8,Calcul1!V394),5)</f>
        <v>5.3999999999999999E-2</v>
      </c>
    </row>
    <row r="359" spans="13:14">
      <c r="M359" s="86">
        <v>3.49</v>
      </c>
      <c r="N359" s="93">
        <f>ROUND(IF(Calcul1!V395&lt;$K$8,$K$8,Calcul1!V395),5)</f>
        <v>5.3999999999999999E-2</v>
      </c>
    </row>
    <row r="360" spans="13:14">
      <c r="M360" s="86">
        <v>3.5</v>
      </c>
      <c r="N360" s="93">
        <f>ROUND(IF(Calcul1!V396&lt;$K$8,$K$8,Calcul1!V396),5)</f>
        <v>5.3999999999999999E-2</v>
      </c>
    </row>
    <row r="361" spans="13:14">
      <c r="M361" s="86">
        <v>3.51</v>
      </c>
      <c r="N361" s="93">
        <f>ROUND(IF(Calcul1!V397&lt;$K$8,$K$8,Calcul1!V397),5)</f>
        <v>5.3999999999999999E-2</v>
      </c>
    </row>
    <row r="362" spans="13:14">
      <c r="M362" s="86">
        <v>3.52</v>
      </c>
      <c r="N362" s="93">
        <f>ROUND(IF(Calcul1!V398&lt;$K$8,$K$8,Calcul1!V398),5)</f>
        <v>5.3999999999999999E-2</v>
      </c>
    </row>
    <row r="363" spans="13:14">
      <c r="M363" s="86">
        <v>3.53</v>
      </c>
      <c r="N363" s="93">
        <f>ROUND(IF(Calcul1!V399&lt;$K$8,$K$8,Calcul1!V399),5)</f>
        <v>5.3999999999999999E-2</v>
      </c>
    </row>
    <row r="364" spans="13:14">
      <c r="M364" s="86">
        <v>3.54</v>
      </c>
      <c r="N364" s="93">
        <f>ROUND(IF(Calcul1!V400&lt;$K$8,$K$8,Calcul1!V400),5)</f>
        <v>5.3999999999999999E-2</v>
      </c>
    </row>
    <row r="365" spans="13:14">
      <c r="M365" s="86">
        <v>3.55</v>
      </c>
      <c r="N365" s="93">
        <f>ROUND(IF(Calcul1!V401&lt;$K$8,$K$8,Calcul1!V401),5)</f>
        <v>5.3999999999999999E-2</v>
      </c>
    </row>
    <row r="366" spans="13:14">
      <c r="M366" s="86">
        <v>3.56</v>
      </c>
      <c r="N366" s="93">
        <f>ROUND(IF(Calcul1!V402&lt;$K$8,$K$8,Calcul1!V402),5)</f>
        <v>5.3999999999999999E-2</v>
      </c>
    </row>
    <row r="367" spans="13:14">
      <c r="M367" s="86">
        <v>3.57</v>
      </c>
      <c r="N367" s="93">
        <f>ROUND(IF(Calcul1!V403&lt;$K$8,$K$8,Calcul1!V403),5)</f>
        <v>5.3999999999999999E-2</v>
      </c>
    </row>
    <row r="368" spans="13:14">
      <c r="M368" s="86">
        <v>3.58</v>
      </c>
      <c r="N368" s="93">
        <f>ROUND(IF(Calcul1!V404&lt;$K$8,$K$8,Calcul1!V404),5)</f>
        <v>5.3999999999999999E-2</v>
      </c>
    </row>
    <row r="369" spans="13:14">
      <c r="M369" s="86">
        <v>3.59</v>
      </c>
      <c r="N369" s="93">
        <f>ROUND(IF(Calcul1!V405&lt;$K$8,$K$8,Calcul1!V405),5)</f>
        <v>5.3999999999999999E-2</v>
      </c>
    </row>
    <row r="370" spans="13:14">
      <c r="M370" s="86">
        <v>3.6</v>
      </c>
      <c r="N370" s="93">
        <f>ROUND(IF(Calcul1!V406&lt;$K$8,$K$8,Calcul1!V406),5)</f>
        <v>5.3999999999999999E-2</v>
      </c>
    </row>
    <row r="371" spans="13:14">
      <c r="M371" s="86">
        <v>3.61</v>
      </c>
      <c r="N371" s="93">
        <f>ROUND(IF(Calcul1!V407&lt;$K$8,$K$8,Calcul1!V407),5)</f>
        <v>5.3999999999999999E-2</v>
      </c>
    </row>
    <row r="372" spans="13:14">
      <c r="M372" s="86">
        <v>3.62</v>
      </c>
      <c r="N372" s="93">
        <f>ROUND(IF(Calcul1!V408&lt;$K$8,$K$8,Calcul1!V408),5)</f>
        <v>5.3999999999999999E-2</v>
      </c>
    </row>
    <row r="373" spans="13:14">
      <c r="M373" s="86">
        <v>3.63</v>
      </c>
      <c r="N373" s="93">
        <f>ROUND(IF(Calcul1!V409&lt;$K$8,$K$8,Calcul1!V409),5)</f>
        <v>5.3999999999999999E-2</v>
      </c>
    </row>
    <row r="374" spans="13:14">
      <c r="M374" s="86">
        <v>3.64</v>
      </c>
      <c r="N374" s="93">
        <f>ROUND(IF(Calcul1!V410&lt;$K$8,$K$8,Calcul1!V410),5)</f>
        <v>5.3999999999999999E-2</v>
      </c>
    </row>
    <row r="375" spans="13:14">
      <c r="M375" s="86">
        <v>3.65</v>
      </c>
      <c r="N375" s="93">
        <f>ROUND(IF(Calcul1!V411&lt;$K$8,$K$8,Calcul1!V411),5)</f>
        <v>5.3999999999999999E-2</v>
      </c>
    </row>
    <row r="376" spans="13:14">
      <c r="M376" s="86">
        <v>3.66</v>
      </c>
      <c r="N376" s="93">
        <f>ROUND(IF(Calcul1!V412&lt;$K$8,$K$8,Calcul1!V412),5)</f>
        <v>5.3999999999999999E-2</v>
      </c>
    </row>
    <row r="377" spans="13:14">
      <c r="M377" s="86">
        <v>3.67</v>
      </c>
      <c r="N377" s="93">
        <f>ROUND(IF(Calcul1!V413&lt;$K$8,$K$8,Calcul1!V413),5)</f>
        <v>5.3999999999999999E-2</v>
      </c>
    </row>
    <row r="378" spans="13:14">
      <c r="M378" s="86">
        <v>3.68</v>
      </c>
      <c r="N378" s="93">
        <f>ROUND(IF(Calcul1!V414&lt;$K$8,$K$8,Calcul1!V414),5)</f>
        <v>5.3999999999999999E-2</v>
      </c>
    </row>
    <row r="379" spans="13:14">
      <c r="M379" s="86">
        <v>3.69</v>
      </c>
      <c r="N379" s="93">
        <f>ROUND(IF(Calcul1!V415&lt;$K$8,$K$8,Calcul1!V415),5)</f>
        <v>5.3999999999999999E-2</v>
      </c>
    </row>
    <row r="380" spans="13:14">
      <c r="M380" s="86">
        <v>3.7</v>
      </c>
      <c r="N380" s="93">
        <f>ROUND(IF(Calcul1!V416&lt;$K$8,$K$8,Calcul1!V416),5)</f>
        <v>5.3999999999999999E-2</v>
      </c>
    </row>
    <row r="381" spans="13:14">
      <c r="M381" s="86">
        <v>3.71</v>
      </c>
      <c r="N381" s="93">
        <f>ROUND(IF(Calcul1!V417&lt;$K$8,$K$8,Calcul1!V417),5)</f>
        <v>5.3999999999999999E-2</v>
      </c>
    </row>
    <row r="382" spans="13:14">
      <c r="M382" s="86">
        <v>3.72</v>
      </c>
      <c r="N382" s="93">
        <f>ROUND(IF(Calcul1!V418&lt;$K$8,$K$8,Calcul1!V418),5)</f>
        <v>5.3999999999999999E-2</v>
      </c>
    </row>
    <row r="383" spans="13:14">
      <c r="M383" s="86">
        <v>3.73</v>
      </c>
      <c r="N383" s="93">
        <f>ROUND(IF(Calcul1!V419&lt;$K$8,$K$8,Calcul1!V419),5)</f>
        <v>5.3999999999999999E-2</v>
      </c>
    </row>
    <row r="384" spans="13:14">
      <c r="M384" s="86">
        <v>3.74</v>
      </c>
      <c r="N384" s="93">
        <f>ROUND(IF(Calcul1!V420&lt;$K$8,$K$8,Calcul1!V420),5)</f>
        <v>5.3999999999999999E-2</v>
      </c>
    </row>
    <row r="385" spans="13:14">
      <c r="M385" s="86">
        <v>3.75</v>
      </c>
      <c r="N385" s="93">
        <f>ROUND(IF(Calcul1!V421&lt;$K$8,$K$8,Calcul1!V421),5)</f>
        <v>5.3999999999999999E-2</v>
      </c>
    </row>
    <row r="386" spans="13:14">
      <c r="M386" s="86">
        <v>3.76</v>
      </c>
      <c r="N386" s="93">
        <f>ROUND(IF(Calcul1!V422&lt;$K$8,$K$8,Calcul1!V422),5)</f>
        <v>5.3999999999999999E-2</v>
      </c>
    </row>
    <row r="387" spans="13:14">
      <c r="M387" s="86">
        <v>3.77</v>
      </c>
      <c r="N387" s="93">
        <f>ROUND(IF(Calcul1!V423&lt;$K$8,$K$8,Calcul1!V423),5)</f>
        <v>5.3999999999999999E-2</v>
      </c>
    </row>
    <row r="388" spans="13:14">
      <c r="M388" s="86">
        <v>3.78</v>
      </c>
      <c r="N388" s="93">
        <f>ROUND(IF(Calcul1!V424&lt;$K$8,$K$8,Calcul1!V424),5)</f>
        <v>5.3999999999999999E-2</v>
      </c>
    </row>
    <row r="389" spans="13:14">
      <c r="M389" s="86">
        <v>3.79</v>
      </c>
      <c r="N389" s="93">
        <f>ROUND(IF(Calcul1!V425&lt;$K$8,$K$8,Calcul1!V425),5)</f>
        <v>5.3999999999999999E-2</v>
      </c>
    </row>
    <row r="390" spans="13:14">
      <c r="M390" s="86">
        <v>3.8</v>
      </c>
      <c r="N390" s="93">
        <f>ROUND(IF(Calcul1!V426&lt;$K$8,$K$8,Calcul1!V426),5)</f>
        <v>5.3999999999999999E-2</v>
      </c>
    </row>
    <row r="391" spans="13:14">
      <c r="M391" s="86">
        <v>3.81</v>
      </c>
      <c r="N391" s="93">
        <f>ROUND(IF(Calcul1!V427&lt;$K$8,$K$8,Calcul1!V427),5)</f>
        <v>5.3999999999999999E-2</v>
      </c>
    </row>
    <row r="392" spans="13:14">
      <c r="M392" s="86">
        <v>3.82</v>
      </c>
      <c r="N392" s="93">
        <f>ROUND(IF(Calcul1!V428&lt;$K$8,$K$8,Calcul1!V428),5)</f>
        <v>5.3999999999999999E-2</v>
      </c>
    </row>
    <row r="393" spans="13:14">
      <c r="M393" s="86">
        <v>3.83</v>
      </c>
      <c r="N393" s="93">
        <f>ROUND(IF(Calcul1!V429&lt;$K$8,$K$8,Calcul1!V429),5)</f>
        <v>5.3999999999999999E-2</v>
      </c>
    </row>
    <row r="394" spans="13:14">
      <c r="M394" s="86">
        <v>3.84</v>
      </c>
      <c r="N394" s="93">
        <f>ROUND(IF(Calcul1!V430&lt;$K$8,$K$8,Calcul1!V430),5)</f>
        <v>5.3999999999999999E-2</v>
      </c>
    </row>
    <row r="395" spans="13:14">
      <c r="M395" s="86">
        <v>3.85</v>
      </c>
      <c r="N395" s="93">
        <f>ROUND(IF(Calcul1!V431&lt;$K$8,$K$8,Calcul1!V431),5)</f>
        <v>5.3999999999999999E-2</v>
      </c>
    </row>
    <row r="396" spans="13:14">
      <c r="M396" s="86">
        <v>3.86</v>
      </c>
      <c r="N396" s="93">
        <f>ROUND(IF(Calcul1!V432&lt;$K$8,$K$8,Calcul1!V432),5)</f>
        <v>5.3999999999999999E-2</v>
      </c>
    </row>
    <row r="397" spans="13:14">
      <c r="M397" s="86">
        <v>3.87</v>
      </c>
      <c r="N397" s="93">
        <f>ROUND(IF(Calcul1!V433&lt;$K$8,$K$8,Calcul1!V433),5)</f>
        <v>5.3999999999999999E-2</v>
      </c>
    </row>
    <row r="398" spans="13:14">
      <c r="M398" s="86">
        <v>3.88</v>
      </c>
      <c r="N398" s="93">
        <f>ROUND(IF(Calcul1!V434&lt;$K$8,$K$8,Calcul1!V434),5)</f>
        <v>5.3999999999999999E-2</v>
      </c>
    </row>
    <row r="399" spans="13:14">
      <c r="M399" s="86">
        <v>3.89</v>
      </c>
      <c r="N399" s="93">
        <f>ROUND(IF(Calcul1!V435&lt;$K$8,$K$8,Calcul1!V435),5)</f>
        <v>5.3999999999999999E-2</v>
      </c>
    </row>
    <row r="400" spans="13:14">
      <c r="M400" s="86">
        <v>3.9</v>
      </c>
      <c r="N400" s="93">
        <f>ROUND(IF(Calcul1!V436&lt;$K$8,$K$8,Calcul1!V436),5)</f>
        <v>5.3999999999999999E-2</v>
      </c>
    </row>
    <row r="401" spans="13:14">
      <c r="M401" s="86">
        <v>3.91</v>
      </c>
      <c r="N401" s="93">
        <f>ROUND(IF(Calcul1!V437&lt;$K$8,$K$8,Calcul1!V437),5)</f>
        <v>5.3999999999999999E-2</v>
      </c>
    </row>
    <row r="402" spans="13:14">
      <c r="M402" s="86">
        <v>3.92</v>
      </c>
      <c r="N402" s="93">
        <f>ROUND(IF(Calcul1!V438&lt;$K$8,$K$8,Calcul1!V438),5)</f>
        <v>5.3999999999999999E-2</v>
      </c>
    </row>
    <row r="403" spans="13:14">
      <c r="M403" s="86">
        <v>3.93</v>
      </c>
      <c r="N403" s="93">
        <f>ROUND(IF(Calcul1!V439&lt;$K$8,$K$8,Calcul1!V439),5)</f>
        <v>5.3999999999999999E-2</v>
      </c>
    </row>
    <row r="404" spans="13:14">
      <c r="M404" s="86">
        <v>3.94</v>
      </c>
      <c r="N404" s="93">
        <f>ROUND(IF(Calcul1!V440&lt;$K$8,$K$8,Calcul1!V440),5)</f>
        <v>5.3999999999999999E-2</v>
      </c>
    </row>
    <row r="405" spans="13:14">
      <c r="M405" s="86">
        <v>3.95</v>
      </c>
      <c r="N405" s="93">
        <f>ROUND(IF(Calcul1!V441&lt;$K$8,$K$8,Calcul1!V441),5)</f>
        <v>5.3999999999999999E-2</v>
      </c>
    </row>
    <row r="406" spans="13:14">
      <c r="M406" s="86">
        <v>3.96</v>
      </c>
      <c r="N406" s="93">
        <f>ROUND(IF(Calcul1!V442&lt;$K$8,$K$8,Calcul1!V442),5)</f>
        <v>5.3999999999999999E-2</v>
      </c>
    </row>
    <row r="407" spans="13:14">
      <c r="M407" s="86">
        <v>3.97</v>
      </c>
      <c r="N407" s="93">
        <f>ROUND(IF(Calcul1!V443&lt;$K$8,$K$8,Calcul1!V443),5)</f>
        <v>5.3999999999999999E-2</v>
      </c>
    </row>
    <row r="408" spans="13:14">
      <c r="M408" s="86">
        <v>3.98</v>
      </c>
      <c r="N408" s="93">
        <f>ROUND(IF(Calcul1!V444&lt;$K$8,$K$8,Calcul1!V444),5)</f>
        <v>5.3999999999999999E-2</v>
      </c>
    </row>
    <row r="409" spans="13:14">
      <c r="M409" s="86">
        <v>3.99</v>
      </c>
      <c r="N409" s="93">
        <f>ROUND(IF(Calcul1!V445&lt;$K$8,$K$8,Calcul1!V445),5)</f>
        <v>5.3999999999999999E-2</v>
      </c>
    </row>
    <row r="410" spans="13:14">
      <c r="M410" s="86">
        <v>4</v>
      </c>
      <c r="N410" s="93">
        <f>ROUND(IF(Calcul1!V446&lt;$K$8,$K$8,Calcul1!V446),5)</f>
        <v>5.3999999999999999E-2</v>
      </c>
    </row>
  </sheetData>
  <mergeCells count="5">
    <mergeCell ref="K8:L8"/>
    <mergeCell ref="C10:K27"/>
    <mergeCell ref="K7:L7"/>
    <mergeCell ref="C2:O2"/>
    <mergeCell ref="H3:O3"/>
  </mergeCells>
  <dataValidations count="4">
    <dataValidation type="list" allowBlank="1" showInputMessage="1" showErrorMessage="1" sqref="H62:I62">
      <formula1>'CALCUL RPA'!B30:B33</formula1>
    </dataValidation>
    <dataValidation type="list" allowBlank="1" showInputMessage="1" showErrorMessage="1" sqref="F62:G62">
      <formula1>'CALCUL RPA'!C46:F46</formula1>
    </dataValidation>
    <dataValidation type="list" allowBlank="1" showInputMessage="1" showErrorMessage="1" sqref="D62:E62">
      <formula1>'CALCUL RPA'!B17:B23</formula1>
    </dataValidation>
    <dataValidation type="list" allowBlank="1" showInputMessage="1" showErrorMessage="1" sqref="L62">
      <formula1>"3,3,5,4,5,5,5"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B1:Y446"/>
  <sheetViews>
    <sheetView topLeftCell="A10" workbookViewId="0">
      <selection activeCell="I21" sqref="I21"/>
    </sheetView>
  </sheetViews>
  <sheetFormatPr defaultColWidth="9.140625" defaultRowHeight="16.5"/>
  <cols>
    <col min="1" max="2" width="9.140625" style="11"/>
    <col min="3" max="3" width="20" style="11" customWidth="1"/>
    <col min="4" max="4" width="9.140625" style="11"/>
    <col min="5" max="5" width="8.7109375" style="11" bestFit="1" customWidth="1"/>
    <col min="6" max="9" width="9.140625" style="11"/>
    <col min="10" max="10" width="11.140625" style="11" bestFit="1" customWidth="1"/>
    <col min="11" max="11" width="9.140625" style="11"/>
    <col min="12" max="12" width="11.140625" style="11" bestFit="1" customWidth="1"/>
    <col min="13" max="13" width="8.7109375" style="11" bestFit="1" customWidth="1"/>
    <col min="14" max="20" width="9.140625" style="11"/>
    <col min="21" max="21" width="10.42578125" style="11" bestFit="1" customWidth="1"/>
    <col min="22" max="22" width="9.140625" style="11"/>
    <col min="23" max="23" width="10.42578125" style="11" bestFit="1" customWidth="1"/>
    <col min="24" max="16384" width="9.140625" style="11"/>
  </cols>
  <sheetData>
    <row r="1" spans="2:25" ht="17.25" thickBot="1"/>
    <row r="2" spans="2:25" ht="21" thickTop="1">
      <c r="B2" s="272" t="s">
        <v>153</v>
      </c>
      <c r="C2" s="273"/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4"/>
    </row>
    <row r="3" spans="2:25" ht="17.25" thickBot="1">
      <c r="B3" s="46" t="s">
        <v>151</v>
      </c>
      <c r="C3" s="47"/>
      <c r="D3" s="48"/>
      <c r="E3" s="49" t="s">
        <v>242</v>
      </c>
      <c r="F3" s="49"/>
      <c r="G3" s="275"/>
      <c r="H3" s="275"/>
      <c r="I3" s="275"/>
      <c r="J3" s="275"/>
      <c r="K3" s="275"/>
      <c r="L3" s="275"/>
      <c r="M3" s="275"/>
      <c r="N3" s="276"/>
    </row>
    <row r="4" spans="2:25" ht="17.25" thickTop="1">
      <c r="M4" s="12"/>
    </row>
    <row r="5" spans="2:25">
      <c r="B5" s="277" t="s">
        <v>38</v>
      </c>
      <c r="C5" s="277"/>
      <c r="D5" s="277"/>
      <c r="E5" s="277"/>
      <c r="F5" s="277"/>
      <c r="G5" s="277"/>
      <c r="H5" s="277"/>
    </row>
    <row r="6" spans="2:25">
      <c r="B6" s="13"/>
      <c r="C6" s="13"/>
      <c r="D6" s="13"/>
      <c r="E6" s="13"/>
    </row>
    <row r="7" spans="2:25">
      <c r="B7" s="22" t="s">
        <v>43</v>
      </c>
      <c r="C7" s="22" t="s">
        <v>26</v>
      </c>
      <c r="D7" s="22" t="s">
        <v>15</v>
      </c>
    </row>
    <row r="8" spans="2:25">
      <c r="B8" s="23">
        <v>0</v>
      </c>
      <c r="C8" s="23" t="s">
        <v>27</v>
      </c>
      <c r="D8" s="24">
        <v>0</v>
      </c>
      <c r="F8" s="25"/>
      <c r="G8" s="25"/>
      <c r="H8" s="25"/>
      <c r="I8" s="25"/>
      <c r="J8" s="25"/>
      <c r="K8" s="26"/>
    </row>
    <row r="9" spans="2:25">
      <c r="B9" s="23" t="s">
        <v>7</v>
      </c>
      <c r="C9" s="23" t="s">
        <v>28</v>
      </c>
      <c r="D9" s="24">
        <v>7.0000000000000007E-2</v>
      </c>
    </row>
    <row r="10" spans="2:25">
      <c r="B10" s="23" t="s">
        <v>22</v>
      </c>
      <c r="C10" s="23" t="s">
        <v>29</v>
      </c>
      <c r="D10" s="24">
        <v>0.1</v>
      </c>
      <c r="F10" s="27" t="s">
        <v>15</v>
      </c>
      <c r="G10" s="14">
        <f>IF(SpectreH!C7=B8,D8,IF(SpectreH!C7=B9,D9,IF(SpectreH!C7=B10,D10,IF(SpectreH!C7=B11,D11,IF(SpectreH!C7=B12,D12,IF(SpectreH!C7=B13,D13,IF(SpectreH!C7=B14,D14)))))))</f>
        <v>0.25</v>
      </c>
    </row>
    <row r="11" spans="2:25">
      <c r="B11" s="23" t="s">
        <v>8</v>
      </c>
      <c r="C11" s="23" t="s">
        <v>30</v>
      </c>
      <c r="D11" s="24">
        <v>0.15</v>
      </c>
    </row>
    <row r="12" spans="2:25">
      <c r="B12" s="23" t="s">
        <v>23</v>
      </c>
      <c r="C12" s="23" t="s">
        <v>31</v>
      </c>
      <c r="D12" s="24">
        <v>0.2</v>
      </c>
      <c r="N12" s="15"/>
      <c r="O12" s="15"/>
      <c r="P12" s="15"/>
      <c r="Q12" s="15"/>
    </row>
    <row r="13" spans="2:25">
      <c r="B13" s="23" t="s">
        <v>24</v>
      </c>
      <c r="C13" s="23" t="s">
        <v>32</v>
      </c>
      <c r="D13" s="24">
        <v>0.25</v>
      </c>
      <c r="N13" s="15"/>
      <c r="O13" s="15"/>
      <c r="P13" s="17"/>
      <c r="Q13" s="15"/>
    </row>
    <row r="14" spans="2:25">
      <c r="B14" s="23" t="s">
        <v>25</v>
      </c>
      <c r="C14" s="23" t="s">
        <v>32</v>
      </c>
      <c r="D14" s="24">
        <v>0.3</v>
      </c>
      <c r="N14" s="15"/>
      <c r="O14" s="15"/>
      <c r="P14" s="16"/>
      <c r="Q14" s="15"/>
    </row>
    <row r="15" spans="2:25">
      <c r="N15" s="15"/>
      <c r="O15" s="15"/>
      <c r="P15" s="17"/>
      <c r="Q15" s="15"/>
    </row>
    <row r="16" spans="2:25">
      <c r="B16" s="280" t="s">
        <v>240</v>
      </c>
      <c r="C16" s="281"/>
      <c r="D16" s="281"/>
      <c r="E16" s="281"/>
      <c r="F16" s="281"/>
      <c r="G16" s="281"/>
      <c r="H16" s="281"/>
      <c r="I16" s="281"/>
      <c r="J16" s="282"/>
      <c r="K16" s="234"/>
      <c r="L16" s="235"/>
      <c r="N16" s="280" t="s">
        <v>231</v>
      </c>
      <c r="O16" s="281"/>
      <c r="P16" s="281"/>
      <c r="Q16" s="281"/>
      <c r="R16" s="281"/>
      <c r="S16" s="281"/>
      <c r="T16" s="281"/>
      <c r="U16" s="281"/>
      <c r="V16" s="281"/>
      <c r="W16" s="281"/>
      <c r="X16" s="282"/>
      <c r="Y16" s="235"/>
    </row>
    <row r="17" spans="2:25">
      <c r="B17" s="236"/>
      <c r="C17" s="15"/>
      <c r="D17" s="15"/>
      <c r="E17" s="15"/>
      <c r="F17" s="15"/>
      <c r="G17" s="15"/>
      <c r="H17" s="15"/>
      <c r="I17" s="15"/>
      <c r="J17" s="15"/>
      <c r="K17" s="15"/>
      <c r="L17" s="237"/>
      <c r="N17" s="236"/>
      <c r="O17" s="15"/>
      <c r="P17" s="17"/>
      <c r="Q17" s="15"/>
      <c r="R17" s="15"/>
      <c r="S17" s="15"/>
      <c r="T17" s="15"/>
      <c r="U17" s="15"/>
      <c r="V17" s="15"/>
      <c r="W17" s="15"/>
      <c r="X17" s="15"/>
      <c r="Y17" s="237"/>
    </row>
    <row r="18" spans="2:25" ht="16.5" customHeight="1">
      <c r="B18" s="269" t="s">
        <v>34</v>
      </c>
      <c r="C18" s="270"/>
      <c r="D18" s="270"/>
      <c r="E18" s="270"/>
      <c r="F18" s="270"/>
      <c r="G18" s="270"/>
      <c r="H18" s="270"/>
      <c r="I18" s="270"/>
      <c r="J18" s="271"/>
      <c r="K18" s="15"/>
      <c r="L18" s="237"/>
      <c r="N18" s="269" t="s">
        <v>34</v>
      </c>
      <c r="O18" s="270"/>
      <c r="P18" s="270"/>
      <c r="Q18" s="270"/>
      <c r="R18" s="270"/>
      <c r="S18" s="270"/>
      <c r="T18" s="270"/>
      <c r="U18" s="270"/>
      <c r="V18" s="270"/>
      <c r="W18" s="271"/>
      <c r="X18" s="15"/>
      <c r="Y18" s="237"/>
    </row>
    <row r="19" spans="2:25">
      <c r="B19" s="236"/>
      <c r="C19" s="15"/>
      <c r="D19" s="15"/>
      <c r="E19" s="15"/>
      <c r="F19" s="15"/>
      <c r="G19" s="15"/>
      <c r="H19" s="15"/>
      <c r="I19" s="15"/>
      <c r="J19" s="15"/>
      <c r="K19" s="15"/>
      <c r="L19" s="237"/>
      <c r="N19" s="236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237"/>
    </row>
    <row r="20" spans="2:25">
      <c r="B20" s="22" t="s">
        <v>33</v>
      </c>
      <c r="C20" s="22" t="s">
        <v>35</v>
      </c>
      <c r="D20" s="22" t="s">
        <v>18</v>
      </c>
      <c r="E20" s="22" t="s">
        <v>19</v>
      </c>
      <c r="F20" s="22" t="s">
        <v>36</v>
      </c>
      <c r="G20" s="15"/>
      <c r="H20" s="15"/>
      <c r="I20" s="15"/>
      <c r="J20" s="15"/>
      <c r="K20" s="15"/>
      <c r="L20" s="237"/>
      <c r="N20" s="22" t="s">
        <v>33</v>
      </c>
      <c r="O20" s="22" t="s">
        <v>232</v>
      </c>
      <c r="P20" s="22" t="s">
        <v>18</v>
      </c>
      <c r="Q20" s="22" t="s">
        <v>19</v>
      </c>
      <c r="R20" s="22" t="s">
        <v>36</v>
      </c>
      <c r="S20" s="22" t="s">
        <v>235</v>
      </c>
      <c r="T20" s="15"/>
      <c r="U20" s="22" t="s">
        <v>233</v>
      </c>
      <c r="V20" s="28">
        <f>G10*0.9</f>
        <v>0.22500000000000001</v>
      </c>
      <c r="W20" s="15"/>
      <c r="X20" s="15"/>
      <c r="Y20" s="237"/>
    </row>
    <row r="21" spans="2:25">
      <c r="B21" s="23" t="s">
        <v>11</v>
      </c>
      <c r="C21" s="23">
        <v>1</v>
      </c>
      <c r="D21" s="24">
        <v>0.1</v>
      </c>
      <c r="E21" s="24">
        <v>0.4</v>
      </c>
      <c r="F21" s="24">
        <v>2</v>
      </c>
      <c r="G21" s="15"/>
      <c r="H21" s="22" t="s">
        <v>35</v>
      </c>
      <c r="I21" s="28">
        <f>IF(SpectreH!G7=B21,C21,IF(SpectreH!G7=B22,C22,IF(SpectreH!G7=B23,C23,C24)))</f>
        <v>1.3</v>
      </c>
      <c r="J21" s="29"/>
      <c r="K21" s="15"/>
      <c r="L21" s="237"/>
      <c r="N21" s="23" t="s">
        <v>11</v>
      </c>
      <c r="O21" s="24">
        <v>0.9</v>
      </c>
      <c r="P21" s="24">
        <v>0.05</v>
      </c>
      <c r="Q21" s="24">
        <v>0.2</v>
      </c>
      <c r="R21" s="24">
        <v>1</v>
      </c>
      <c r="S21" s="24">
        <v>0.6</v>
      </c>
      <c r="T21" s="15"/>
      <c r="U21" s="22" t="s">
        <v>18</v>
      </c>
      <c r="V21" s="28">
        <f>IF(SpectreH!G7=N21,P21,IF(SpectreH!G7=N22,P22,IF(SpectreH!G7=N23,P23,P24)))</f>
        <v>0.05</v>
      </c>
      <c r="W21" s="29"/>
      <c r="X21" s="15"/>
      <c r="Y21" s="237"/>
    </row>
    <row r="22" spans="2:25">
      <c r="B22" s="23" t="s">
        <v>12</v>
      </c>
      <c r="C22" s="23">
        <v>1.2</v>
      </c>
      <c r="D22" s="24">
        <v>0.1</v>
      </c>
      <c r="E22" s="24">
        <v>0.5</v>
      </c>
      <c r="F22" s="24">
        <v>2</v>
      </c>
      <c r="G22" s="15"/>
      <c r="H22" s="22" t="s">
        <v>18</v>
      </c>
      <c r="I22" s="28">
        <f>IF(SpectreH!G7=B21,D21,IF(SpectreH!G7=B22,D22,IF(SpectreH!G7=B23,D23,D24)))</f>
        <v>0.15</v>
      </c>
      <c r="J22" s="29"/>
      <c r="K22" s="15"/>
      <c r="L22" s="237"/>
      <c r="N22" s="23" t="s">
        <v>12</v>
      </c>
      <c r="O22" s="24">
        <v>0.9</v>
      </c>
      <c r="P22" s="24">
        <v>0.05</v>
      </c>
      <c r="Q22" s="24">
        <v>0.3</v>
      </c>
      <c r="R22" s="24">
        <v>1</v>
      </c>
      <c r="S22" s="24">
        <v>0.6</v>
      </c>
      <c r="T22" s="15"/>
      <c r="U22" s="22" t="s">
        <v>19</v>
      </c>
      <c r="V22" s="28">
        <f>IF(SpectreH!G7=N21,Q21,IF(SpectreH!G7=N22,Q22,IF(SpectreH!G7=N23,Q23,Q24)))</f>
        <v>0.4</v>
      </c>
      <c r="W22" s="29"/>
      <c r="X22" s="15"/>
      <c r="Y22" s="237"/>
    </row>
    <row r="23" spans="2:25">
      <c r="B23" s="23" t="s">
        <v>13</v>
      </c>
      <c r="C23" s="23">
        <v>1.3</v>
      </c>
      <c r="D23" s="24">
        <v>0.15</v>
      </c>
      <c r="E23" s="24">
        <v>0.6</v>
      </c>
      <c r="F23" s="24">
        <v>2</v>
      </c>
      <c r="G23" s="15"/>
      <c r="H23" s="22" t="s">
        <v>19</v>
      </c>
      <c r="I23" s="28">
        <f>IF(SpectreH!G7=B21,E21,IF(SpectreH!G7=B22,E22,IF(SpectreH!G7=B23,E23,E24)))</f>
        <v>0.6</v>
      </c>
      <c r="J23" s="29"/>
      <c r="K23" s="15"/>
      <c r="L23" s="237"/>
      <c r="N23" s="23" t="s">
        <v>13</v>
      </c>
      <c r="O23" s="24">
        <v>0.9</v>
      </c>
      <c r="P23" s="24">
        <v>0.05</v>
      </c>
      <c r="Q23" s="24">
        <v>0.4</v>
      </c>
      <c r="R23" s="24">
        <v>1</v>
      </c>
      <c r="S23" s="24">
        <v>0.6</v>
      </c>
      <c r="T23" s="15"/>
      <c r="U23" s="22" t="s">
        <v>36</v>
      </c>
      <c r="V23" s="28">
        <f>IF(SpectreH!G7=N21,R21,IF(SpectreH!G7=N22,R22,IF(SpectreH!G7=N23,R23,R24)))</f>
        <v>1</v>
      </c>
      <c r="W23" s="29"/>
      <c r="X23" s="15"/>
      <c r="Y23" s="237"/>
    </row>
    <row r="24" spans="2:25">
      <c r="B24" s="23" t="s">
        <v>14</v>
      </c>
      <c r="C24" s="23">
        <v>1.35</v>
      </c>
      <c r="D24" s="24">
        <v>0.15</v>
      </c>
      <c r="E24" s="24">
        <v>0.7</v>
      </c>
      <c r="F24" s="24">
        <v>2</v>
      </c>
      <c r="G24" s="15"/>
      <c r="H24" s="22" t="s">
        <v>36</v>
      </c>
      <c r="I24" s="28">
        <f>IF(SpectreH!G7=B21,F21,IF(SpectreH!G7=B22,F22,IF(SpectreH!G7=B23,F23,F24)))</f>
        <v>2</v>
      </c>
      <c r="J24" s="29"/>
      <c r="K24" s="15"/>
      <c r="L24" s="237"/>
      <c r="N24" s="23" t="s">
        <v>14</v>
      </c>
      <c r="O24" s="24">
        <v>0.9</v>
      </c>
      <c r="P24" s="24">
        <v>0.05</v>
      </c>
      <c r="Q24" s="24">
        <v>0.5</v>
      </c>
      <c r="R24" s="24">
        <v>1</v>
      </c>
      <c r="S24" s="24">
        <v>0.6</v>
      </c>
      <c r="T24" s="15"/>
      <c r="U24" s="22" t="s">
        <v>235</v>
      </c>
      <c r="V24" s="28">
        <f>0.6</f>
        <v>0.6</v>
      </c>
      <c r="W24" s="29"/>
      <c r="X24" s="22" t="s">
        <v>233</v>
      </c>
      <c r="Y24" s="241">
        <f>IF(OR(SpectreH!C7=B9,SpectreH!C7=B10,SpectreH!C7=B11),V28,IF(OR(SpectreH!C7=B12,SpectreH!C7=B13,SpectreH!C7=B14),V20,0))</f>
        <v>0.22500000000000001</v>
      </c>
    </row>
    <row r="25" spans="2:25">
      <c r="B25" s="236"/>
      <c r="C25" s="15"/>
      <c r="D25" s="15"/>
      <c r="E25" s="15"/>
      <c r="F25" s="15"/>
      <c r="G25" s="15"/>
      <c r="H25" s="15"/>
      <c r="I25" s="15"/>
      <c r="J25" s="15"/>
      <c r="K25" s="22" t="s">
        <v>35</v>
      </c>
      <c r="L25" s="241">
        <f>IF(OR(SpectreH!C7=B9,SpectreH!C7=B10,SpectreH!C7=B11),I29,IF(OR(SpectreH!C7=B12,SpectreH!C7=B13,SpectreH!C7=B14),I21,0))</f>
        <v>1.3</v>
      </c>
      <c r="N25" s="236"/>
      <c r="O25" s="15"/>
      <c r="P25" s="15"/>
      <c r="Q25" s="15"/>
      <c r="R25" s="15"/>
      <c r="S25" s="15"/>
      <c r="T25" s="15"/>
      <c r="U25" s="15"/>
      <c r="V25" s="15"/>
      <c r="W25" s="15"/>
      <c r="X25" s="22" t="s">
        <v>18</v>
      </c>
      <c r="Y25" s="241">
        <f>IF(OR(SpectreH!C7=B9,SpectreH!C7=B10,SpectreH!C7=B11),V29,IF(OR(SpectreH!C7=B12,SpectreH!C7=B13,SpectreH!C7=B14),V21,0))</f>
        <v>0.05</v>
      </c>
    </row>
    <row r="26" spans="2:25" ht="16.5" customHeight="1">
      <c r="B26" s="269" t="s">
        <v>37</v>
      </c>
      <c r="C26" s="270"/>
      <c r="D26" s="270"/>
      <c r="E26" s="270"/>
      <c r="F26" s="270"/>
      <c r="G26" s="270"/>
      <c r="H26" s="270"/>
      <c r="I26" s="270"/>
      <c r="J26" s="271"/>
      <c r="K26" s="22" t="s">
        <v>18</v>
      </c>
      <c r="L26" s="241">
        <f>IF(OR(SpectreH!C7=B9,SpectreH!C7=B10,SpectreH!C7=B11),I30,IF(OR(SpectreH!C7=B12,SpectreH!C7=B13,SpectreH!C7=B14),I22,0))</f>
        <v>0.15</v>
      </c>
      <c r="N26" s="269" t="s">
        <v>37</v>
      </c>
      <c r="O26" s="270"/>
      <c r="P26" s="270"/>
      <c r="Q26" s="270"/>
      <c r="R26" s="270"/>
      <c r="S26" s="270"/>
      <c r="T26" s="270"/>
      <c r="U26" s="270"/>
      <c r="V26" s="270"/>
      <c r="W26" s="271"/>
      <c r="X26" s="22" t="s">
        <v>19</v>
      </c>
      <c r="Y26" s="241">
        <f>IF(OR(SpectreH!C7=B9,SpectreH!C7=B10,SpectreH!C7=B11),V30,IF(OR(SpectreH!C7=B12,SpectreH!C7=B13,SpectreH!C7=B14),V22,0))</f>
        <v>0.4</v>
      </c>
    </row>
    <row r="27" spans="2:25">
      <c r="B27" s="236"/>
      <c r="C27" s="15"/>
      <c r="D27" s="15"/>
      <c r="E27" s="15"/>
      <c r="F27" s="15"/>
      <c r="G27" s="15"/>
      <c r="H27" s="15"/>
      <c r="I27" s="15"/>
      <c r="J27" s="15"/>
      <c r="K27" s="22" t="s">
        <v>19</v>
      </c>
      <c r="L27" s="241">
        <f>IF(OR(SpectreH!C7=B9,SpectreH!C7=B10,SpectreH!C7=B11),I31,IF(OR(SpectreH!C7=B12,SpectreH!C7=B13,SpectreH!C7=B14),I23,0))</f>
        <v>0.6</v>
      </c>
      <c r="N27" s="236"/>
      <c r="O27" s="15"/>
      <c r="P27" s="15"/>
      <c r="Q27" s="15"/>
      <c r="R27" s="15"/>
      <c r="S27" s="15"/>
      <c r="T27" s="15"/>
      <c r="U27" s="15"/>
      <c r="V27" s="15"/>
      <c r="W27" s="15"/>
      <c r="X27" s="22" t="s">
        <v>36</v>
      </c>
      <c r="Y27" s="241">
        <f>IF(OR(SpectreH!C7=B9,SpectreH!C7=B10,SpectreH!C7=B11),V31,IF(OR(SpectreH!C7=B12,SpectreH!C7=B13,SpectreH!C7=B14),V23,0))</f>
        <v>1</v>
      </c>
    </row>
    <row r="28" spans="2:25">
      <c r="B28" s="22" t="s">
        <v>33</v>
      </c>
      <c r="C28" s="22" t="s">
        <v>35</v>
      </c>
      <c r="D28" s="22" t="s">
        <v>18</v>
      </c>
      <c r="E28" s="22" t="s">
        <v>19</v>
      </c>
      <c r="F28" s="22" t="s">
        <v>36</v>
      </c>
      <c r="G28" s="15"/>
      <c r="H28" s="15"/>
      <c r="I28" s="15"/>
      <c r="J28" s="15"/>
      <c r="K28" s="22" t="s">
        <v>36</v>
      </c>
      <c r="L28" s="241">
        <f>IF(OR(SpectreH!C7=B9,SpectreH!C7=B10,SpectreH!C7=B11),I32,IF(OR(SpectreH!C7=B12,SpectreH!C7=B13,SpectreH!C7=B14),I24,0))</f>
        <v>2</v>
      </c>
      <c r="N28" s="22" t="s">
        <v>33</v>
      </c>
      <c r="O28" s="22" t="s">
        <v>232</v>
      </c>
      <c r="P28" s="22" t="s">
        <v>18</v>
      </c>
      <c r="Q28" s="22" t="s">
        <v>19</v>
      </c>
      <c r="R28" s="22" t="s">
        <v>36</v>
      </c>
      <c r="S28" s="22" t="s">
        <v>235</v>
      </c>
      <c r="T28" s="15"/>
      <c r="U28" s="22" t="s">
        <v>233</v>
      </c>
      <c r="V28" s="28">
        <f>G10*0.55</f>
        <v>0.13750000000000001</v>
      </c>
      <c r="W28" s="15"/>
      <c r="X28" s="22" t="s">
        <v>235</v>
      </c>
      <c r="Y28" s="241">
        <f>IF(OR(SpectreH!C7=B9,SpectreH!C7=B10,SpectreH!C7=B11),V32,IF(OR(SpectreH!C7=B12,SpectreH!C7=B13,SpectreH!C7=B14),V24,0))</f>
        <v>0.6</v>
      </c>
    </row>
    <row r="29" spans="2:25">
      <c r="B29" s="23" t="s">
        <v>11</v>
      </c>
      <c r="C29" s="23">
        <v>1</v>
      </c>
      <c r="D29" s="24">
        <v>0.05</v>
      </c>
      <c r="E29" s="24">
        <v>0.25</v>
      </c>
      <c r="F29" s="24">
        <v>1.2</v>
      </c>
      <c r="G29" s="15"/>
      <c r="H29" s="22" t="s">
        <v>35</v>
      </c>
      <c r="I29" s="28">
        <f>IF(SpectreH!G7=B29,C29,IF(SpectreH!G7=B30,C30,IF(SpectreH!G7=B31,C31,C32)))</f>
        <v>1.55</v>
      </c>
      <c r="J29" s="29"/>
      <c r="K29" s="15"/>
      <c r="L29" s="237"/>
      <c r="N29" s="23" t="s">
        <v>11</v>
      </c>
      <c r="O29" s="24">
        <v>0.55000000000000004</v>
      </c>
      <c r="P29" s="24">
        <v>0.05</v>
      </c>
      <c r="Q29" s="24">
        <v>0.15</v>
      </c>
      <c r="R29" s="24">
        <v>1</v>
      </c>
      <c r="S29" s="24">
        <v>0.8</v>
      </c>
      <c r="T29" s="15"/>
      <c r="U29" s="22" t="s">
        <v>18</v>
      </c>
      <c r="V29" s="28">
        <f>IF(SpectreH!G7=N29,P29,IF(SpectreH!G7=N30,P30,IF(SpectreH!G7=N31,P31,P32)))</f>
        <v>0.05</v>
      </c>
      <c r="W29" s="29"/>
      <c r="X29" s="15"/>
      <c r="Y29" s="237"/>
    </row>
    <row r="30" spans="2:25">
      <c r="B30" s="23" t="s">
        <v>12</v>
      </c>
      <c r="C30" s="23">
        <v>1.3</v>
      </c>
      <c r="D30" s="24">
        <v>0.05</v>
      </c>
      <c r="E30" s="24">
        <v>0.3</v>
      </c>
      <c r="F30" s="24">
        <v>1.2</v>
      </c>
      <c r="G30" s="15"/>
      <c r="H30" s="22" t="s">
        <v>18</v>
      </c>
      <c r="I30" s="28">
        <f>IF(SpectreH!G7=B29,D29,IF(SpectreH!G7=B30,D30,IF(SpectreH!G7=B31,D31,D32)))</f>
        <v>0.1</v>
      </c>
      <c r="J30" s="29"/>
      <c r="K30" s="15"/>
      <c r="L30" s="237"/>
      <c r="N30" s="23" t="s">
        <v>12</v>
      </c>
      <c r="O30" s="24">
        <v>0.55000000000000004</v>
      </c>
      <c r="P30" s="24">
        <v>0.05</v>
      </c>
      <c r="Q30" s="24">
        <v>0.2</v>
      </c>
      <c r="R30" s="24">
        <v>1</v>
      </c>
      <c r="S30" s="24">
        <v>0.8</v>
      </c>
      <c r="T30" s="15"/>
      <c r="U30" s="22" t="s">
        <v>19</v>
      </c>
      <c r="V30" s="28">
        <f>IF(SpectreH!G7=N29,Q29,IF(SpectreH!G7=N30,Q30,IF(SpectreH!G7=N31,Q31,Q32)))</f>
        <v>0.25</v>
      </c>
      <c r="W30" s="29"/>
      <c r="X30" s="15"/>
      <c r="Y30" s="237"/>
    </row>
    <row r="31" spans="2:25">
      <c r="B31" s="23" t="s">
        <v>13</v>
      </c>
      <c r="C31" s="23">
        <v>1.55</v>
      </c>
      <c r="D31" s="24">
        <v>0.1</v>
      </c>
      <c r="E31" s="24">
        <v>0.4</v>
      </c>
      <c r="F31" s="24">
        <v>1.2</v>
      </c>
      <c r="G31" s="15"/>
      <c r="H31" s="22" t="s">
        <v>19</v>
      </c>
      <c r="I31" s="28">
        <f>IF(SpectreH!G7=B29,E29,IF(SpectreH!G7=B30,E30,IF(SpectreH!G7=B31,E31,E32)))</f>
        <v>0.4</v>
      </c>
      <c r="J31" s="29"/>
      <c r="K31" s="15"/>
      <c r="L31" s="237"/>
      <c r="N31" s="23" t="s">
        <v>13</v>
      </c>
      <c r="O31" s="24">
        <v>0.55000000000000004</v>
      </c>
      <c r="P31" s="24">
        <v>0.05</v>
      </c>
      <c r="Q31" s="24">
        <v>0.25</v>
      </c>
      <c r="R31" s="24">
        <v>1</v>
      </c>
      <c r="S31" s="24">
        <v>0.8</v>
      </c>
      <c r="T31" s="15"/>
      <c r="U31" s="22" t="s">
        <v>36</v>
      </c>
      <c r="V31" s="28">
        <f>IF(SpectreH!G7=N29,R29,IF(SpectreH!G7=N30,R30,IF(SpectreH!G7=N31,R31,R32)))</f>
        <v>1</v>
      </c>
      <c r="W31" s="29"/>
      <c r="X31" s="15"/>
      <c r="Y31" s="237"/>
    </row>
    <row r="32" spans="2:25">
      <c r="B32" s="23" t="s">
        <v>14</v>
      </c>
      <c r="C32" s="23">
        <v>1.8</v>
      </c>
      <c r="D32" s="24">
        <v>0.1</v>
      </c>
      <c r="E32" s="24">
        <v>0.5</v>
      </c>
      <c r="F32" s="24">
        <v>1.2</v>
      </c>
      <c r="G32" s="238"/>
      <c r="H32" s="22" t="s">
        <v>36</v>
      </c>
      <c r="I32" s="28">
        <f>IF(SpectreH!G7=B29,F29,IF(SpectreH!G7=B30,F30,IF(SpectreH!G7=B31,F31,F32)))</f>
        <v>1.2</v>
      </c>
      <c r="J32" s="239"/>
      <c r="K32" s="238"/>
      <c r="L32" s="240"/>
      <c r="N32" s="23" t="s">
        <v>14</v>
      </c>
      <c r="O32" s="24">
        <v>0.55000000000000004</v>
      </c>
      <c r="P32" s="24">
        <v>0.05</v>
      </c>
      <c r="Q32" s="24">
        <v>0.3</v>
      </c>
      <c r="R32" s="24">
        <v>1</v>
      </c>
      <c r="S32" s="24">
        <v>0.8</v>
      </c>
      <c r="T32" s="238"/>
      <c r="U32" s="22" t="s">
        <v>235</v>
      </c>
      <c r="V32" s="28">
        <f>0.8</f>
        <v>0.8</v>
      </c>
      <c r="W32" s="239"/>
      <c r="X32" s="238"/>
      <c r="Y32" s="240"/>
    </row>
    <row r="35" spans="2:22">
      <c r="B35" s="277" t="s">
        <v>39</v>
      </c>
      <c r="C35" s="277"/>
      <c r="D35" s="277"/>
      <c r="E35" s="277"/>
      <c r="F35" s="277"/>
      <c r="G35" s="277"/>
      <c r="H35" s="277"/>
      <c r="K35" s="247" t="s">
        <v>2</v>
      </c>
    </row>
    <row r="36" spans="2:22">
      <c r="K36" s="23">
        <v>3</v>
      </c>
    </row>
    <row r="37" spans="2:22">
      <c r="B37" s="22" t="s">
        <v>40</v>
      </c>
      <c r="C37" s="22" t="s">
        <v>9</v>
      </c>
      <c r="D37" s="22" t="s">
        <v>10</v>
      </c>
      <c r="E37" s="22">
        <v>2</v>
      </c>
      <c r="F37" s="22">
        <v>3</v>
      </c>
      <c r="K37" s="23">
        <v>3.5</v>
      </c>
    </row>
    <row r="38" spans="2:22">
      <c r="B38" s="23" t="s">
        <v>7</v>
      </c>
      <c r="C38" s="23">
        <v>1.4</v>
      </c>
      <c r="D38" s="24">
        <v>1.2</v>
      </c>
      <c r="E38" s="24">
        <v>1</v>
      </c>
      <c r="F38" s="24">
        <v>0.8</v>
      </c>
      <c r="H38" s="27" t="s">
        <v>7</v>
      </c>
      <c r="I38" s="18">
        <f>IF(SpectreH!E7=C37,C38,IF(SpectreH!E7=D37,D38,IF(SpectreH!E7=E37,E38,F38)))</f>
        <v>1.2</v>
      </c>
      <c r="J38" s="19"/>
      <c r="K38" s="23">
        <v>4.5</v>
      </c>
    </row>
    <row r="39" spans="2:22">
      <c r="K39" s="23">
        <v>5.5</v>
      </c>
    </row>
    <row r="41" spans="2:22" ht="16.5" customHeight="1">
      <c r="B41" s="277" t="s">
        <v>239</v>
      </c>
      <c r="C41" s="278"/>
      <c r="D41" s="278"/>
      <c r="E41" s="278"/>
      <c r="F41" s="278"/>
      <c r="G41" s="278"/>
      <c r="H41" s="279"/>
      <c r="N41" s="269" t="s">
        <v>234</v>
      </c>
      <c r="O41" s="270"/>
      <c r="P41" s="270"/>
      <c r="Q41" s="270"/>
      <c r="R41" s="270"/>
      <c r="S41" s="270"/>
      <c r="T41" s="270"/>
      <c r="U41" s="271"/>
    </row>
    <row r="43" spans="2:22">
      <c r="B43" s="8" t="s">
        <v>15</v>
      </c>
      <c r="C43" s="8" t="s">
        <v>7</v>
      </c>
      <c r="D43" s="8" t="s">
        <v>35</v>
      </c>
      <c r="E43" s="8" t="s">
        <v>42</v>
      </c>
      <c r="F43" s="8" t="s">
        <v>2</v>
      </c>
      <c r="G43" s="8" t="s">
        <v>18</v>
      </c>
      <c r="H43" s="8" t="s">
        <v>19</v>
      </c>
      <c r="I43" s="8" t="s">
        <v>36</v>
      </c>
      <c r="N43" s="8" t="s">
        <v>233</v>
      </c>
      <c r="O43" s="8" t="s">
        <v>7</v>
      </c>
      <c r="P43" s="8" t="s">
        <v>2</v>
      </c>
      <c r="Q43" s="8" t="s">
        <v>18</v>
      </c>
      <c r="R43" s="8" t="s">
        <v>19</v>
      </c>
      <c r="S43" s="8" t="s">
        <v>36</v>
      </c>
      <c r="T43" s="229" t="s">
        <v>235</v>
      </c>
    </row>
    <row r="44" spans="2:22">
      <c r="B44" s="30">
        <f>$G$10</f>
        <v>0.25</v>
      </c>
      <c r="C44" s="30">
        <f>$I$38</f>
        <v>1.2</v>
      </c>
      <c r="D44" s="30">
        <f>$L$25</f>
        <v>1.3</v>
      </c>
      <c r="E44" s="30">
        <f>SpectreH!I7</f>
        <v>1.2</v>
      </c>
      <c r="F44" s="30">
        <f>SpectreH!K7</f>
        <v>4.5</v>
      </c>
      <c r="G44" s="30">
        <f>$L$26</f>
        <v>0.15</v>
      </c>
      <c r="H44" s="30">
        <f>$L$27</f>
        <v>0.6</v>
      </c>
      <c r="I44" s="30">
        <f>$L$28</f>
        <v>2</v>
      </c>
      <c r="N44" s="30">
        <f>Y24</f>
        <v>0.22500000000000001</v>
      </c>
      <c r="O44" s="30">
        <f>$I$38</f>
        <v>1.2</v>
      </c>
      <c r="P44" s="30">
        <f>SpectreH!K7</f>
        <v>4.5</v>
      </c>
      <c r="Q44" s="30">
        <f>$Y$25</f>
        <v>0.05</v>
      </c>
      <c r="R44" s="30">
        <f>$Y$26</f>
        <v>0.4</v>
      </c>
      <c r="S44" s="30">
        <f>$Y$27</f>
        <v>1</v>
      </c>
      <c r="T44" s="30">
        <f>Y28</f>
        <v>0.6</v>
      </c>
    </row>
    <row r="45" spans="2:22">
      <c r="J45" s="8" t="s">
        <v>41</v>
      </c>
      <c r="K45" s="8" t="s">
        <v>129</v>
      </c>
      <c r="U45" s="8" t="s">
        <v>41</v>
      </c>
      <c r="V45" s="8" t="s">
        <v>129</v>
      </c>
    </row>
    <row r="46" spans="2:22">
      <c r="J46" s="20">
        <v>0</v>
      </c>
      <c r="K46" s="21">
        <f>IF(J46&lt;$G$44,$B$44*$C$44*$D$44*(2/3+(J46/$G$44)*(2.5*$E$44/$F$44-2/3)),IF(J46&lt;$H$44,$B$44*$C$44*$D$44*(2.5*$E$44/$F$44),IF(J46&lt;$I$44,$B$44*$C$44*$D$44*(2.5*$E$44/$F$44)*($H$44/J46),$B$44*$C$44*$D$44*(2.5*$E$44/$F$44)*($H$44*$I$44/J46^2))))</f>
        <v>0.26</v>
      </c>
      <c r="U46" s="20">
        <v>0</v>
      </c>
      <c r="V46" s="21">
        <f>IF(U46&lt;$Q$44,$N$44*$O$44*(2/3+(U46/$Q$44)*(2.5/$P$44-2/3)),IF(U46&lt;$R$44,$N$44*$O$44*(2.5/$P$44),IF(U46&lt;$S$44,$N$44*$O$44*(2.5/$P$44)*(($R$44/U46)^$T$44),$N$44*$O$44*(2.5/$P$44)*($R$44*$S$44/U46^2)^$T$44)))</f>
        <v>0.18</v>
      </c>
    </row>
    <row r="47" spans="2:22">
      <c r="J47" s="20">
        <v>0.01</v>
      </c>
      <c r="K47" s="21">
        <f t="shared" ref="K47:K110" si="0">IF(J47&lt;$G$44,$B$44*$C$44*$D$44*(2/3+(J47/$G$44)*(2.5*$E$44/$F$44-2/3)),IF(J47&lt;$H$44,$B$44*$C$44*$D$44*(2.5*$E$44/$F$44),IF(J47&lt;$I$44,$B$44*$C$44*$D$44*(2.5*$E$44/$F$44)*($H$44/J47),$B$44*$C$44*$D$44*(2.5*$E$44/$F$44)*($H$44*$I$44/J47^2))))</f>
        <v>0.26</v>
      </c>
      <c r="U47" s="20">
        <v>0.01</v>
      </c>
      <c r="V47" s="21">
        <f t="shared" ref="V47:V110" si="1">IF(U47&lt;$Q$44,$N$44*$O$44*(2/3+(U47/$Q$44)*(2.5/$P$44-2/3)),IF(U47&lt;$R$44,$N$44*$O$44*(2.5/$P$44),IF(U47&lt;$S$44,$N$44*$O$44*(2.5/$P$44)*(($R$44/U47)^$T$44),$N$44*$O$44*(2.5/$P$44)*($R$44*$S$44/U47^2)^$T$44)))</f>
        <v>0.17399999999999999</v>
      </c>
    </row>
    <row r="48" spans="2:22">
      <c r="J48" s="20">
        <v>0.02</v>
      </c>
      <c r="K48" s="21">
        <f t="shared" si="0"/>
        <v>0.26</v>
      </c>
      <c r="U48" s="20">
        <v>0.02</v>
      </c>
      <c r="V48" s="21">
        <f t="shared" si="1"/>
        <v>0.16800000000000001</v>
      </c>
    </row>
    <row r="49" spans="10:22">
      <c r="J49" s="20">
        <v>0.03</v>
      </c>
      <c r="K49" s="21">
        <f t="shared" si="0"/>
        <v>0.26</v>
      </c>
      <c r="U49" s="20">
        <v>0.03</v>
      </c>
      <c r="V49" s="21">
        <f t="shared" si="1"/>
        <v>0.16200000000000001</v>
      </c>
    </row>
    <row r="50" spans="10:22">
      <c r="J50" s="20">
        <v>0.04</v>
      </c>
      <c r="K50" s="21">
        <f t="shared" si="0"/>
        <v>0.26</v>
      </c>
      <c r="U50" s="20">
        <v>0.04</v>
      </c>
      <c r="V50" s="21">
        <f t="shared" si="1"/>
        <v>0.15600000000000003</v>
      </c>
    </row>
    <row r="51" spans="10:22">
      <c r="J51" s="20">
        <v>0.05</v>
      </c>
      <c r="K51" s="21">
        <f t="shared" si="0"/>
        <v>0.26</v>
      </c>
      <c r="U51" s="20">
        <v>0.05</v>
      </c>
      <c r="V51" s="21">
        <f t="shared" si="1"/>
        <v>0.15000000000000002</v>
      </c>
    </row>
    <row r="52" spans="10:22">
      <c r="J52" s="20">
        <v>0.06</v>
      </c>
      <c r="K52" s="21">
        <f t="shared" si="0"/>
        <v>0.26</v>
      </c>
      <c r="U52" s="20">
        <v>0.06</v>
      </c>
      <c r="V52" s="21">
        <f t="shared" si="1"/>
        <v>0.15000000000000002</v>
      </c>
    </row>
    <row r="53" spans="10:22">
      <c r="J53" s="20">
        <v>7.0000000000000007E-2</v>
      </c>
      <c r="K53" s="21">
        <f t="shared" si="0"/>
        <v>0.26</v>
      </c>
      <c r="U53" s="20">
        <v>7.0000000000000007E-2</v>
      </c>
      <c r="V53" s="21">
        <f t="shared" si="1"/>
        <v>0.15000000000000002</v>
      </c>
    </row>
    <row r="54" spans="10:22">
      <c r="J54" s="20">
        <v>0.08</v>
      </c>
      <c r="K54" s="21">
        <f t="shared" si="0"/>
        <v>0.26</v>
      </c>
      <c r="U54" s="20">
        <v>0.08</v>
      </c>
      <c r="V54" s="21">
        <f t="shared" si="1"/>
        <v>0.15000000000000002</v>
      </c>
    </row>
    <row r="55" spans="10:22">
      <c r="J55" s="20">
        <v>0.09</v>
      </c>
      <c r="K55" s="21">
        <f t="shared" si="0"/>
        <v>0.26</v>
      </c>
      <c r="U55" s="20">
        <v>0.09</v>
      </c>
      <c r="V55" s="21">
        <f t="shared" si="1"/>
        <v>0.15000000000000002</v>
      </c>
    </row>
    <row r="56" spans="10:22">
      <c r="J56" s="20">
        <v>0.1</v>
      </c>
      <c r="K56" s="21">
        <f t="shared" si="0"/>
        <v>0.26</v>
      </c>
      <c r="U56" s="20">
        <v>0.1</v>
      </c>
      <c r="V56" s="21">
        <f t="shared" si="1"/>
        <v>0.15000000000000002</v>
      </c>
    </row>
    <row r="57" spans="10:22">
      <c r="J57" s="20">
        <v>0.11</v>
      </c>
      <c r="K57" s="21">
        <f t="shared" si="0"/>
        <v>0.26</v>
      </c>
      <c r="U57" s="20">
        <v>0.11</v>
      </c>
      <c r="V57" s="21">
        <f t="shared" si="1"/>
        <v>0.15000000000000002</v>
      </c>
    </row>
    <row r="58" spans="10:22">
      <c r="J58" s="20">
        <v>0.12</v>
      </c>
      <c r="K58" s="21">
        <f t="shared" si="0"/>
        <v>0.26</v>
      </c>
      <c r="U58" s="20">
        <v>0.12</v>
      </c>
      <c r="V58" s="21">
        <f t="shared" si="1"/>
        <v>0.15000000000000002</v>
      </c>
    </row>
    <row r="59" spans="10:22">
      <c r="J59" s="20">
        <v>0.13</v>
      </c>
      <c r="K59" s="21">
        <f t="shared" si="0"/>
        <v>0.26</v>
      </c>
      <c r="U59" s="20">
        <v>0.13</v>
      </c>
      <c r="V59" s="21">
        <f t="shared" si="1"/>
        <v>0.15000000000000002</v>
      </c>
    </row>
    <row r="60" spans="10:22">
      <c r="J60" s="20">
        <v>0.14000000000000001</v>
      </c>
      <c r="K60" s="21">
        <f t="shared" si="0"/>
        <v>0.26</v>
      </c>
      <c r="U60" s="20">
        <v>0.14000000000000001</v>
      </c>
      <c r="V60" s="21">
        <f t="shared" si="1"/>
        <v>0.15000000000000002</v>
      </c>
    </row>
    <row r="61" spans="10:22">
      <c r="J61" s="20">
        <v>0.15</v>
      </c>
      <c r="K61" s="21">
        <f t="shared" si="0"/>
        <v>0.26</v>
      </c>
      <c r="U61" s="20">
        <v>0.15</v>
      </c>
      <c r="V61" s="21">
        <f t="shared" si="1"/>
        <v>0.15000000000000002</v>
      </c>
    </row>
    <row r="62" spans="10:22">
      <c r="J62" s="20">
        <v>0.16</v>
      </c>
      <c r="K62" s="21">
        <f t="shared" si="0"/>
        <v>0.26</v>
      </c>
      <c r="U62" s="20">
        <v>0.16</v>
      </c>
      <c r="V62" s="21">
        <f t="shared" si="1"/>
        <v>0.15000000000000002</v>
      </c>
    </row>
    <row r="63" spans="10:22">
      <c r="J63" s="20">
        <v>0.17</v>
      </c>
      <c r="K63" s="21">
        <f t="shared" si="0"/>
        <v>0.26</v>
      </c>
      <c r="U63" s="20">
        <v>0.17</v>
      </c>
      <c r="V63" s="21">
        <f t="shared" si="1"/>
        <v>0.15000000000000002</v>
      </c>
    </row>
    <row r="64" spans="10:22">
      <c r="J64" s="20">
        <v>0.18</v>
      </c>
      <c r="K64" s="21">
        <f t="shared" si="0"/>
        <v>0.26</v>
      </c>
      <c r="U64" s="20">
        <v>0.18</v>
      </c>
      <c r="V64" s="21">
        <f t="shared" si="1"/>
        <v>0.15000000000000002</v>
      </c>
    </row>
    <row r="65" spans="10:22">
      <c r="J65" s="20">
        <v>0.19</v>
      </c>
      <c r="K65" s="21">
        <f t="shared" si="0"/>
        <v>0.26</v>
      </c>
      <c r="U65" s="20">
        <v>0.19</v>
      </c>
      <c r="V65" s="21">
        <f t="shared" si="1"/>
        <v>0.15000000000000002</v>
      </c>
    </row>
    <row r="66" spans="10:22">
      <c r="J66" s="20">
        <v>0.2</v>
      </c>
      <c r="K66" s="21">
        <f t="shared" si="0"/>
        <v>0.26</v>
      </c>
      <c r="U66" s="20">
        <v>0.2</v>
      </c>
      <c r="V66" s="21">
        <f t="shared" si="1"/>
        <v>0.15000000000000002</v>
      </c>
    </row>
    <row r="67" spans="10:22">
      <c r="J67" s="20">
        <v>0.21</v>
      </c>
      <c r="K67" s="21">
        <f t="shared" si="0"/>
        <v>0.26</v>
      </c>
      <c r="U67" s="20">
        <v>0.21</v>
      </c>
      <c r="V67" s="21">
        <f t="shared" si="1"/>
        <v>0.15000000000000002</v>
      </c>
    </row>
    <row r="68" spans="10:22">
      <c r="J68" s="20">
        <v>0.22</v>
      </c>
      <c r="K68" s="21">
        <f t="shared" si="0"/>
        <v>0.26</v>
      </c>
      <c r="U68" s="20">
        <v>0.22</v>
      </c>
      <c r="V68" s="21">
        <f t="shared" si="1"/>
        <v>0.15000000000000002</v>
      </c>
    </row>
    <row r="69" spans="10:22">
      <c r="J69" s="20">
        <v>0.23</v>
      </c>
      <c r="K69" s="21">
        <f t="shared" si="0"/>
        <v>0.26</v>
      </c>
      <c r="U69" s="20">
        <v>0.23</v>
      </c>
      <c r="V69" s="21">
        <f t="shared" si="1"/>
        <v>0.15000000000000002</v>
      </c>
    </row>
    <row r="70" spans="10:22">
      <c r="J70" s="20">
        <v>0.24</v>
      </c>
      <c r="K70" s="21">
        <f t="shared" si="0"/>
        <v>0.26</v>
      </c>
      <c r="U70" s="20">
        <v>0.24</v>
      </c>
      <c r="V70" s="21">
        <f t="shared" si="1"/>
        <v>0.15000000000000002</v>
      </c>
    </row>
    <row r="71" spans="10:22">
      <c r="J71" s="20">
        <v>0.25</v>
      </c>
      <c r="K71" s="21">
        <f t="shared" si="0"/>
        <v>0.26</v>
      </c>
      <c r="U71" s="20">
        <v>0.25</v>
      </c>
      <c r="V71" s="21">
        <f t="shared" si="1"/>
        <v>0.15000000000000002</v>
      </c>
    </row>
    <row r="72" spans="10:22">
      <c r="J72" s="20">
        <v>0.26</v>
      </c>
      <c r="K72" s="21">
        <f t="shared" si="0"/>
        <v>0.26</v>
      </c>
      <c r="U72" s="20">
        <v>0.26</v>
      </c>
      <c r="V72" s="21">
        <f t="shared" si="1"/>
        <v>0.15000000000000002</v>
      </c>
    </row>
    <row r="73" spans="10:22">
      <c r="J73" s="20">
        <v>0.27</v>
      </c>
      <c r="K73" s="21">
        <f t="shared" si="0"/>
        <v>0.26</v>
      </c>
      <c r="U73" s="20">
        <v>0.27</v>
      </c>
      <c r="V73" s="21">
        <f t="shared" si="1"/>
        <v>0.15000000000000002</v>
      </c>
    </row>
    <row r="74" spans="10:22">
      <c r="J74" s="20">
        <v>0.28000000000000003</v>
      </c>
      <c r="K74" s="21">
        <f t="shared" si="0"/>
        <v>0.26</v>
      </c>
      <c r="U74" s="20">
        <v>0.28000000000000003</v>
      </c>
      <c r="V74" s="21">
        <f t="shared" si="1"/>
        <v>0.15000000000000002</v>
      </c>
    </row>
    <row r="75" spans="10:22">
      <c r="J75" s="20">
        <v>0.28999999999999998</v>
      </c>
      <c r="K75" s="21">
        <f t="shared" si="0"/>
        <v>0.26</v>
      </c>
      <c r="U75" s="20">
        <v>0.28999999999999998</v>
      </c>
      <c r="V75" s="21">
        <f t="shared" si="1"/>
        <v>0.15000000000000002</v>
      </c>
    </row>
    <row r="76" spans="10:22">
      <c r="J76" s="20">
        <v>0.3</v>
      </c>
      <c r="K76" s="21">
        <f t="shared" si="0"/>
        <v>0.26</v>
      </c>
      <c r="U76" s="20">
        <v>0.3</v>
      </c>
      <c r="V76" s="21">
        <f t="shared" si="1"/>
        <v>0.15000000000000002</v>
      </c>
    </row>
    <row r="77" spans="10:22">
      <c r="J77" s="20">
        <v>0.31</v>
      </c>
      <c r="K77" s="21">
        <f t="shared" si="0"/>
        <v>0.26</v>
      </c>
      <c r="U77" s="20">
        <v>0.31</v>
      </c>
      <c r="V77" s="21">
        <f t="shared" si="1"/>
        <v>0.15000000000000002</v>
      </c>
    </row>
    <row r="78" spans="10:22">
      <c r="J78" s="20">
        <v>0.32</v>
      </c>
      <c r="K78" s="21">
        <f t="shared" si="0"/>
        <v>0.26</v>
      </c>
      <c r="U78" s="20">
        <v>0.32</v>
      </c>
      <c r="V78" s="21">
        <f t="shared" si="1"/>
        <v>0.15000000000000002</v>
      </c>
    </row>
    <row r="79" spans="10:22">
      <c r="J79" s="20">
        <v>0.33</v>
      </c>
      <c r="K79" s="21">
        <f t="shared" si="0"/>
        <v>0.26</v>
      </c>
      <c r="U79" s="20">
        <v>0.33</v>
      </c>
      <c r="V79" s="21">
        <f t="shared" si="1"/>
        <v>0.15000000000000002</v>
      </c>
    </row>
    <row r="80" spans="10:22">
      <c r="J80" s="20">
        <v>0.34</v>
      </c>
      <c r="K80" s="21">
        <f t="shared" si="0"/>
        <v>0.26</v>
      </c>
      <c r="U80" s="20">
        <v>0.34</v>
      </c>
      <c r="V80" s="21">
        <f t="shared" si="1"/>
        <v>0.15000000000000002</v>
      </c>
    </row>
    <row r="81" spans="10:22">
      <c r="J81" s="20">
        <v>0.35</v>
      </c>
      <c r="K81" s="21">
        <f t="shared" si="0"/>
        <v>0.26</v>
      </c>
      <c r="U81" s="20">
        <v>0.35</v>
      </c>
      <c r="V81" s="21">
        <f t="shared" si="1"/>
        <v>0.15000000000000002</v>
      </c>
    </row>
    <row r="82" spans="10:22">
      <c r="J82" s="20">
        <v>0.36</v>
      </c>
      <c r="K82" s="21">
        <f t="shared" si="0"/>
        <v>0.26</v>
      </c>
      <c r="U82" s="20">
        <v>0.36</v>
      </c>
      <c r="V82" s="21">
        <f t="shared" si="1"/>
        <v>0.15000000000000002</v>
      </c>
    </row>
    <row r="83" spans="10:22">
      <c r="J83" s="20">
        <v>0.37</v>
      </c>
      <c r="K83" s="21">
        <f t="shared" si="0"/>
        <v>0.26</v>
      </c>
      <c r="U83" s="20">
        <v>0.37</v>
      </c>
      <c r="V83" s="21">
        <f t="shared" si="1"/>
        <v>0.15000000000000002</v>
      </c>
    </row>
    <row r="84" spans="10:22">
      <c r="J84" s="20">
        <v>0.38</v>
      </c>
      <c r="K84" s="21">
        <f t="shared" si="0"/>
        <v>0.26</v>
      </c>
      <c r="U84" s="20">
        <v>0.38</v>
      </c>
      <c r="V84" s="21">
        <f t="shared" si="1"/>
        <v>0.15000000000000002</v>
      </c>
    </row>
    <row r="85" spans="10:22">
      <c r="J85" s="20">
        <v>0.39</v>
      </c>
      <c r="K85" s="21">
        <f t="shared" si="0"/>
        <v>0.26</v>
      </c>
      <c r="U85" s="20">
        <v>0.39</v>
      </c>
      <c r="V85" s="21">
        <f t="shared" si="1"/>
        <v>0.15000000000000002</v>
      </c>
    </row>
    <row r="86" spans="10:22">
      <c r="J86" s="20">
        <v>0.4</v>
      </c>
      <c r="K86" s="21">
        <f t="shared" si="0"/>
        <v>0.26</v>
      </c>
      <c r="U86" s="20">
        <v>0.4</v>
      </c>
      <c r="V86" s="21">
        <f t="shared" si="1"/>
        <v>0.15000000000000002</v>
      </c>
    </row>
    <row r="87" spans="10:22">
      <c r="J87" s="20">
        <v>0.41</v>
      </c>
      <c r="K87" s="21">
        <f t="shared" si="0"/>
        <v>0.26</v>
      </c>
      <c r="U87" s="20">
        <v>0.41</v>
      </c>
      <c r="V87" s="21">
        <f t="shared" si="1"/>
        <v>0.14779404644443958</v>
      </c>
    </row>
    <row r="88" spans="10:22">
      <c r="J88" s="20">
        <v>0.42</v>
      </c>
      <c r="K88" s="21">
        <f t="shared" si="0"/>
        <v>0.26</v>
      </c>
      <c r="U88" s="20">
        <v>0.42</v>
      </c>
      <c r="V88" s="21">
        <f t="shared" si="1"/>
        <v>0.14567253557356916</v>
      </c>
    </row>
    <row r="89" spans="10:22">
      <c r="J89" s="20">
        <v>0.43</v>
      </c>
      <c r="K89" s="21">
        <f t="shared" si="0"/>
        <v>0.26</v>
      </c>
      <c r="U89" s="20">
        <v>0.43</v>
      </c>
      <c r="V89" s="21">
        <f t="shared" si="1"/>
        <v>0.14363033734485925</v>
      </c>
    </row>
    <row r="90" spans="10:22">
      <c r="J90" s="20">
        <v>0.44</v>
      </c>
      <c r="K90" s="21">
        <f t="shared" si="0"/>
        <v>0.26</v>
      </c>
      <c r="U90" s="20">
        <v>0.44</v>
      </c>
      <c r="V90" s="21">
        <f t="shared" si="1"/>
        <v>0.1416627433982843</v>
      </c>
    </row>
    <row r="91" spans="10:22">
      <c r="J91" s="20">
        <v>0.45</v>
      </c>
      <c r="K91" s="21">
        <f t="shared" si="0"/>
        <v>0.26</v>
      </c>
      <c r="U91" s="20">
        <v>0.45</v>
      </c>
      <c r="V91" s="21">
        <f t="shared" si="1"/>
        <v>0.13976542375431586</v>
      </c>
    </row>
    <row r="92" spans="10:22">
      <c r="J92" s="20">
        <v>0.46</v>
      </c>
      <c r="K92" s="21">
        <f t="shared" si="0"/>
        <v>0.26</v>
      </c>
      <c r="U92" s="20">
        <v>0.46</v>
      </c>
      <c r="V92" s="21">
        <f t="shared" si="1"/>
        <v>0.13793438880707662</v>
      </c>
    </row>
    <row r="93" spans="10:22">
      <c r="J93" s="20">
        <v>0.47</v>
      </c>
      <c r="K93" s="21">
        <f t="shared" si="0"/>
        <v>0.26</v>
      </c>
      <c r="U93" s="20">
        <v>0.47</v>
      </c>
      <c r="V93" s="21">
        <f t="shared" si="1"/>
        <v>0.13616595586580865</v>
      </c>
    </row>
    <row r="94" spans="10:22">
      <c r="J94" s="20">
        <v>0.48</v>
      </c>
      <c r="K94" s="21">
        <f t="shared" si="0"/>
        <v>0.26</v>
      </c>
      <c r="U94" s="20">
        <v>0.48</v>
      </c>
      <c r="V94" s="21">
        <f t="shared" si="1"/>
        <v>0.1344567196165713</v>
      </c>
    </row>
    <row r="95" spans="10:22">
      <c r="J95" s="20">
        <v>0.49</v>
      </c>
      <c r="K95" s="21">
        <f t="shared" si="0"/>
        <v>0.26</v>
      </c>
      <c r="U95" s="20">
        <v>0.49</v>
      </c>
      <c r="V95" s="21">
        <f t="shared" si="1"/>
        <v>0.13280352597391287</v>
      </c>
    </row>
    <row r="96" spans="10:22">
      <c r="J96" s="20">
        <v>0.5</v>
      </c>
      <c r="K96" s="21">
        <f t="shared" si="0"/>
        <v>0.26</v>
      </c>
      <c r="U96" s="20">
        <v>0.5</v>
      </c>
      <c r="V96" s="21">
        <f t="shared" si="1"/>
        <v>0.13120344887319338</v>
      </c>
    </row>
    <row r="97" spans="10:22">
      <c r="J97" s="20">
        <v>0.51</v>
      </c>
      <c r="K97" s="21">
        <f t="shared" si="0"/>
        <v>0.26</v>
      </c>
      <c r="U97" s="20">
        <v>0.51</v>
      </c>
      <c r="V97" s="21">
        <f t="shared" si="1"/>
        <v>0.12965376962146496</v>
      </c>
    </row>
    <row r="98" spans="10:22">
      <c r="J98" s="20">
        <v>0.52</v>
      </c>
      <c r="K98" s="21">
        <f t="shared" si="0"/>
        <v>0.26</v>
      </c>
      <c r="U98" s="20">
        <v>0.52</v>
      </c>
      <c r="V98" s="21">
        <f t="shared" si="1"/>
        <v>0.12815195848088334</v>
      </c>
    </row>
    <row r="99" spans="10:22">
      <c r="J99" s="20">
        <v>0.53</v>
      </c>
      <c r="K99" s="21">
        <f t="shared" si="0"/>
        <v>0.26</v>
      </c>
      <c r="U99" s="20">
        <v>0.53</v>
      </c>
      <c r="V99" s="21">
        <f t="shared" si="1"/>
        <v>0.1266956582055567</v>
      </c>
    </row>
    <row r="100" spans="10:22">
      <c r="J100" s="20">
        <v>0.54</v>
      </c>
      <c r="K100" s="21">
        <f t="shared" si="0"/>
        <v>0.26</v>
      </c>
      <c r="U100" s="20">
        <v>0.54</v>
      </c>
      <c r="V100" s="21">
        <f t="shared" si="1"/>
        <v>0.12528266929216877</v>
      </c>
    </row>
    <row r="101" spans="10:22">
      <c r="J101" s="20">
        <v>0.55000000000000004</v>
      </c>
      <c r="K101" s="21">
        <f t="shared" si="0"/>
        <v>0.26</v>
      </c>
      <c r="U101" s="20">
        <v>0.55000000000000004</v>
      </c>
      <c r="V101" s="21">
        <f t="shared" si="1"/>
        <v>0.12391093673795403</v>
      </c>
    </row>
    <row r="102" spans="10:22">
      <c r="J102" s="20">
        <v>0.56000000000000005</v>
      </c>
      <c r="K102" s="21">
        <f t="shared" si="0"/>
        <v>0.26</v>
      </c>
      <c r="U102" s="20">
        <v>0.56000000000000005</v>
      </c>
      <c r="V102" s="21">
        <f t="shared" si="1"/>
        <v>0.12257853812772035</v>
      </c>
    </row>
    <row r="103" spans="10:22">
      <c r="J103" s="20">
        <v>0.56999999999999995</v>
      </c>
      <c r="K103" s="21">
        <f t="shared" si="0"/>
        <v>0.26</v>
      </c>
      <c r="U103" s="20">
        <v>0.56999999999999995</v>
      </c>
      <c r="V103" s="21">
        <f t="shared" si="1"/>
        <v>0.12128367289547516</v>
      </c>
    </row>
    <row r="104" spans="10:22">
      <c r="J104" s="20">
        <v>0.57999999999999996</v>
      </c>
      <c r="K104" s="21">
        <f t="shared" si="0"/>
        <v>0.26</v>
      </c>
      <c r="U104" s="20">
        <v>0.57999999999999996</v>
      </c>
      <c r="V104" s="21">
        <f t="shared" si="1"/>
        <v>0.12002465262651962</v>
      </c>
    </row>
    <row r="105" spans="10:22">
      <c r="J105" s="20">
        <v>0.59</v>
      </c>
      <c r="K105" s="21">
        <f t="shared" si="0"/>
        <v>0.26</v>
      </c>
      <c r="U105" s="20">
        <v>0.59</v>
      </c>
      <c r="V105" s="21">
        <f t="shared" si="1"/>
        <v>0.11879989228321465</v>
      </c>
    </row>
    <row r="106" spans="10:22">
      <c r="J106" s="20">
        <v>0.6</v>
      </c>
      <c r="K106" s="21">
        <f t="shared" si="0"/>
        <v>0.26</v>
      </c>
      <c r="U106" s="20">
        <v>0.6</v>
      </c>
      <c r="V106" s="21">
        <f t="shared" si="1"/>
        <v>0.11760790225246739</v>
      </c>
    </row>
    <row r="107" spans="10:22">
      <c r="J107" s="20">
        <v>0.61</v>
      </c>
      <c r="K107" s="21">
        <f t="shared" si="0"/>
        <v>0.25573770491803277</v>
      </c>
      <c r="U107" s="20">
        <v>0.61</v>
      </c>
      <c r="V107" s="21">
        <f t="shared" si="1"/>
        <v>0.11644728112573186</v>
      </c>
    </row>
    <row r="108" spans="10:22">
      <c r="J108" s="20">
        <v>0.62</v>
      </c>
      <c r="K108" s="21">
        <f t="shared" si="0"/>
        <v>0.25161290322580643</v>
      </c>
      <c r="U108" s="20">
        <v>0.62</v>
      </c>
      <c r="V108" s="21">
        <f t="shared" si="1"/>
        <v>0.11531670913328845</v>
      </c>
    </row>
    <row r="109" spans="10:22">
      <c r="J109" s="20">
        <v>0.63</v>
      </c>
      <c r="K109" s="21">
        <f t="shared" si="0"/>
        <v>0.24761904761904763</v>
      </c>
      <c r="U109" s="20">
        <v>0.63</v>
      </c>
      <c r="V109" s="21">
        <f t="shared" si="1"/>
        <v>0.11421494216403598</v>
      </c>
    </row>
    <row r="110" spans="10:22">
      <c r="J110" s="20">
        <v>0.64</v>
      </c>
      <c r="K110" s="21">
        <f t="shared" si="0"/>
        <v>0.24375000000000002</v>
      </c>
      <c r="U110" s="20">
        <v>0.64</v>
      </c>
      <c r="V110" s="21">
        <f t="shared" si="1"/>
        <v>0.11314080631022182</v>
      </c>
    </row>
    <row r="111" spans="10:22">
      <c r="J111" s="20">
        <v>0.65</v>
      </c>
      <c r="K111" s="21">
        <f t="shared" ref="K111:K174" si="2">IF(J111&lt;$G$44,$B$44*$C$44*$D$44*(2/3+(J111/$G$44)*(2.5*$E$44/$F$44-2/3)),IF(J111&lt;$H$44,$B$44*$C$44*$D$44*(2.5*$E$44/$F$44),IF(J111&lt;$I$44,$B$44*$C$44*$D$44*(2.5*$E$44/$F$44)*($H$44/J111),$B$44*$C$44*$D$44*(2.5*$E$44/$F$44)*($H$44*$I$44/J111^2))))</f>
        <v>0.24</v>
      </c>
      <c r="U111" s="20">
        <v>0.65</v>
      </c>
      <c r="V111" s="21">
        <f t="shared" ref="V111:V174" si="3">IF(U111&lt;$Q$44,$N$44*$O$44*(2/3+(U111/$Q$44)*(2.5/$P$44-2/3)),IF(U111&lt;$R$44,$N$44*$O$44*(2.5/$P$44),IF(U111&lt;$S$44,$N$44*$O$44*(2.5/$P$44)*(($R$44/U111)^$T$44),$N$44*$O$44*(2.5/$P$44)*($R$44*$S$44/U111^2)^$T$44)))</f>
        <v>0.1120931928836412</v>
      </c>
    </row>
    <row r="112" spans="10:22">
      <c r="J112" s="20">
        <v>0.66</v>
      </c>
      <c r="K112" s="21">
        <f t="shared" si="2"/>
        <v>0.23636363636363636</v>
      </c>
      <c r="U112" s="20">
        <v>0.66</v>
      </c>
      <c r="V112" s="21">
        <f t="shared" si="3"/>
        <v>0.1110710538560119</v>
      </c>
    </row>
    <row r="113" spans="10:22">
      <c r="J113" s="20">
        <v>0.67</v>
      </c>
      <c r="K113" s="21">
        <f t="shared" si="2"/>
        <v>0.23283582089552238</v>
      </c>
      <c r="U113" s="20">
        <v>0.67</v>
      </c>
      <c r="V113" s="21">
        <f t="shared" si="3"/>
        <v>0.11007339768161314</v>
      </c>
    </row>
    <row r="114" spans="10:22">
      <c r="J114" s="20">
        <v>0.68</v>
      </c>
      <c r="K114" s="21">
        <f t="shared" si="2"/>
        <v>0.22941176470588232</v>
      </c>
      <c r="U114" s="20">
        <v>0.68</v>
      </c>
      <c r="V114" s="21">
        <f t="shared" si="3"/>
        <v>0.10909928546497409</v>
      </c>
    </row>
    <row r="115" spans="10:22">
      <c r="J115" s="20">
        <v>0.69</v>
      </c>
      <c r="K115" s="21">
        <f t="shared" si="2"/>
        <v>0.22608695652173916</v>
      </c>
      <c r="U115" s="20">
        <v>0.69</v>
      </c>
      <c r="V115" s="21">
        <f t="shared" si="3"/>
        <v>0.10814782744050999</v>
      </c>
    </row>
    <row r="116" spans="10:22">
      <c r="J116" s="20">
        <v>0.7</v>
      </c>
      <c r="K116" s="21">
        <f t="shared" si="2"/>
        <v>0.22285714285714289</v>
      </c>
      <c r="U116" s="20">
        <v>0.7</v>
      </c>
      <c r="V116" s="21">
        <f t="shared" si="3"/>
        <v>0.10721817973460759</v>
      </c>
    </row>
    <row r="117" spans="10:22">
      <c r="J117" s="20">
        <v>0.71</v>
      </c>
      <c r="K117" s="21">
        <f t="shared" si="2"/>
        <v>0.21971830985915494</v>
      </c>
      <c r="U117" s="20">
        <v>0.71</v>
      </c>
      <c r="V117" s="21">
        <f t="shared" si="3"/>
        <v>0.10630954138382875</v>
      </c>
    </row>
    <row r="118" spans="10:22">
      <c r="J118" s="20">
        <v>0.72</v>
      </c>
      <c r="K118" s="21">
        <f t="shared" si="2"/>
        <v>0.21666666666666667</v>
      </c>
      <c r="U118" s="20">
        <v>0.72</v>
      </c>
      <c r="V118" s="21">
        <f t="shared" si="3"/>
        <v>0.1054211515856875</v>
      </c>
    </row>
    <row r="119" spans="10:22">
      <c r="J119" s="20">
        <v>0.73</v>
      </c>
      <c r="K119" s="21">
        <f t="shared" si="2"/>
        <v>0.21369863013698628</v>
      </c>
      <c r="U119" s="20">
        <v>0.73</v>
      </c>
      <c r="V119" s="21">
        <f t="shared" si="3"/>
        <v>0.10455228716091521</v>
      </c>
    </row>
    <row r="120" spans="10:22">
      <c r="J120" s="20">
        <v>0.74</v>
      </c>
      <c r="K120" s="21">
        <f t="shared" si="2"/>
        <v>0.21081081081081079</v>
      </c>
      <c r="U120" s="20">
        <v>0.74</v>
      </c>
      <c r="V120" s="21">
        <f t="shared" si="3"/>
        <v>0.10370226020829895</v>
      </c>
    </row>
    <row r="121" spans="10:22">
      <c r="J121" s="20">
        <v>0.75</v>
      </c>
      <c r="K121" s="21">
        <f t="shared" si="2"/>
        <v>0.20799999999999999</v>
      </c>
      <c r="U121" s="20">
        <v>0.75</v>
      </c>
      <c r="V121" s="21">
        <f t="shared" si="3"/>
        <v>0.10287041593510084</v>
      </c>
    </row>
    <row r="122" spans="10:22">
      <c r="J122" s="20">
        <v>0.76</v>
      </c>
      <c r="K122" s="21">
        <f t="shared" si="2"/>
        <v>0.20526315789473684</v>
      </c>
      <c r="U122" s="20">
        <v>0.76</v>
      </c>
      <c r="V122" s="21">
        <f t="shared" si="3"/>
        <v>0.10205613064776907</v>
      </c>
    </row>
    <row r="123" spans="10:22">
      <c r="J123" s="20">
        <v>0.77</v>
      </c>
      <c r="K123" s="21">
        <f t="shared" si="2"/>
        <v>0.20259740259740258</v>
      </c>
      <c r="U123" s="20">
        <v>0.77</v>
      </c>
      <c r="V123" s="21">
        <f t="shared" si="3"/>
        <v>0.10125880988916561</v>
      </c>
    </row>
    <row r="124" spans="10:22">
      <c r="J124" s="20">
        <v>0.78</v>
      </c>
      <c r="K124" s="21">
        <f t="shared" si="2"/>
        <v>0.19999999999999998</v>
      </c>
      <c r="U124" s="20">
        <v>0.78</v>
      </c>
      <c r="V124" s="21">
        <f t="shared" si="3"/>
        <v>0.10047788670987991</v>
      </c>
    </row>
    <row r="125" spans="10:22">
      <c r="J125" s="20">
        <v>0.79</v>
      </c>
      <c r="K125" s="21">
        <f t="shared" si="2"/>
        <v>0.19746835443037974</v>
      </c>
      <c r="U125" s="20">
        <v>0.79</v>
      </c>
      <c r="V125" s="21">
        <f t="shared" si="3"/>
        <v>9.9712820062398302E-2</v>
      </c>
    </row>
    <row r="126" spans="10:22">
      <c r="J126" s="20">
        <v>0.8</v>
      </c>
      <c r="K126" s="21">
        <f t="shared" si="2"/>
        <v>0.19499999999999998</v>
      </c>
      <c r="U126" s="20">
        <v>0.8</v>
      </c>
      <c r="V126" s="21">
        <f t="shared" si="3"/>
        <v>9.8963093307967084E-2</v>
      </c>
    </row>
    <row r="127" spans="10:22">
      <c r="J127" s="20">
        <v>0.81</v>
      </c>
      <c r="K127" s="21">
        <f t="shared" si="2"/>
        <v>0.19259259259259259</v>
      </c>
      <c r="U127" s="20">
        <v>0.81</v>
      </c>
      <c r="V127" s="21">
        <f t="shared" si="3"/>
        <v>9.8228212826943856E-2</v>
      </c>
    </row>
    <row r="128" spans="10:22">
      <c r="J128" s="20">
        <v>0.82</v>
      </c>
      <c r="K128" s="21">
        <f t="shared" si="2"/>
        <v>0.19024390243902439</v>
      </c>
      <c r="U128" s="20">
        <v>0.82</v>
      </c>
      <c r="V128" s="21">
        <f t="shared" si="3"/>
        <v>9.7507706724287282E-2</v>
      </c>
    </row>
    <row r="129" spans="10:22">
      <c r="J129" s="20">
        <v>0.83</v>
      </c>
      <c r="K129" s="21">
        <f t="shared" si="2"/>
        <v>0.18795180722891566</v>
      </c>
      <c r="U129" s="20">
        <v>0.83</v>
      </c>
      <c r="V129" s="21">
        <f t="shared" si="3"/>
        <v>9.6801123622600835E-2</v>
      </c>
    </row>
    <row r="130" spans="10:22">
      <c r="J130" s="20">
        <v>0.84</v>
      </c>
      <c r="K130" s="21">
        <f t="shared" si="2"/>
        <v>0.18571428571428572</v>
      </c>
      <c r="U130" s="20">
        <v>0.84</v>
      </c>
      <c r="V130" s="21">
        <f t="shared" si="3"/>
        <v>9.6108031535835178E-2</v>
      </c>
    </row>
    <row r="131" spans="10:22">
      <c r="J131" s="20">
        <v>0.85</v>
      </c>
      <c r="K131" s="21">
        <f t="shared" si="2"/>
        <v>0.18352941176470591</v>
      </c>
      <c r="U131" s="20">
        <v>0.85</v>
      </c>
      <c r="V131" s="21">
        <f t="shared" si="3"/>
        <v>9.542801681737105E-2</v>
      </c>
    </row>
    <row r="132" spans="10:22">
      <c r="J132" s="20">
        <v>0.86</v>
      </c>
      <c r="K132" s="21">
        <f t="shared" si="2"/>
        <v>0.18139534883720931</v>
      </c>
      <c r="U132" s="20">
        <v>0.86</v>
      </c>
      <c r="V132" s="21">
        <f t="shared" si="3"/>
        <v>9.4760683176760618E-2</v>
      </c>
    </row>
    <row r="133" spans="10:22">
      <c r="J133" s="20">
        <v>0.87</v>
      </c>
      <c r="K133" s="21">
        <f t="shared" si="2"/>
        <v>0.1793103448275862</v>
      </c>
      <c r="U133" s="20">
        <v>0.87</v>
      </c>
      <c r="V133" s="21">
        <f t="shared" si="3"/>
        <v>9.4105650759907136E-2</v>
      </c>
    </row>
    <row r="134" spans="10:22">
      <c r="J134" s="20">
        <v>0.88</v>
      </c>
      <c r="K134" s="21">
        <f t="shared" si="2"/>
        <v>0.17727272727272728</v>
      </c>
      <c r="U134" s="20">
        <v>0.88</v>
      </c>
      <c r="V134" s="21">
        <f t="shared" si="3"/>
        <v>9.3462555287913376E-2</v>
      </c>
    </row>
    <row r="135" spans="10:22">
      <c r="J135" s="20">
        <v>0.89</v>
      </c>
      <c r="K135" s="21">
        <f t="shared" si="2"/>
        <v>0.1752808988764045</v>
      </c>
      <c r="U135" s="20">
        <v>0.89</v>
      </c>
      <c r="V135" s="21">
        <f t="shared" si="3"/>
        <v>9.2831047250238691E-2</v>
      </c>
    </row>
    <row r="136" spans="10:22">
      <c r="J136" s="20">
        <v>0.9</v>
      </c>
      <c r="K136" s="21">
        <f t="shared" si="2"/>
        <v>0.17333333333333334</v>
      </c>
      <c r="U136" s="20">
        <v>0.9</v>
      </c>
      <c r="V136" s="21">
        <f t="shared" si="3"/>
        <v>9.2210791148172794E-2</v>
      </c>
    </row>
    <row r="137" spans="10:22">
      <c r="J137" s="20">
        <v>0.91</v>
      </c>
      <c r="K137" s="21">
        <f t="shared" si="2"/>
        <v>0.17142857142857143</v>
      </c>
      <c r="U137" s="20">
        <v>0.91</v>
      </c>
      <c r="V137" s="21">
        <f t="shared" si="3"/>
        <v>9.1601464784968792E-2</v>
      </c>
    </row>
    <row r="138" spans="10:22">
      <c r="J138" s="20">
        <v>0.92</v>
      </c>
      <c r="K138" s="21">
        <f t="shared" si="2"/>
        <v>0.16956521739130434</v>
      </c>
      <c r="U138" s="20">
        <v>0.92</v>
      </c>
      <c r="V138" s="21">
        <f t="shared" si="3"/>
        <v>9.1002758599280892E-2</v>
      </c>
    </row>
    <row r="139" spans="10:22">
      <c r="J139" s="20">
        <v>0.93</v>
      </c>
      <c r="K139" s="21">
        <f t="shared" si="2"/>
        <v>0.16774193548387098</v>
      </c>
      <c r="U139" s="20">
        <v>0.93</v>
      </c>
      <c r="V139" s="21">
        <f t="shared" si="3"/>
        <v>9.0414375038826655E-2</v>
      </c>
    </row>
    <row r="140" spans="10:22">
      <c r="J140" s="20">
        <v>0.94</v>
      </c>
      <c r="K140" s="21">
        <f t="shared" si="2"/>
        <v>0.16595744680851066</v>
      </c>
      <c r="U140" s="20">
        <v>0.94</v>
      </c>
      <c r="V140" s="21">
        <f t="shared" si="3"/>
        <v>8.983602797144366E-2</v>
      </c>
    </row>
    <row r="141" spans="10:22">
      <c r="J141" s="20">
        <v>0.95</v>
      </c>
      <c r="K141" s="21">
        <f t="shared" si="2"/>
        <v>0.16421052631578947</v>
      </c>
      <c r="U141" s="20">
        <v>0.95</v>
      </c>
      <c r="V141" s="21">
        <f t="shared" si="3"/>
        <v>8.9267442130936764E-2</v>
      </c>
    </row>
    <row r="142" spans="10:22">
      <c r="J142" s="20">
        <v>0.96</v>
      </c>
      <c r="K142" s="21">
        <f t="shared" si="2"/>
        <v>0.16250000000000001</v>
      </c>
      <c r="U142" s="20">
        <v>0.96</v>
      </c>
      <c r="V142" s="21">
        <f t="shared" si="3"/>
        <v>8.8708352595319409E-2</v>
      </c>
    </row>
    <row r="143" spans="10:22">
      <c r="J143" s="20">
        <v>0.97</v>
      </c>
      <c r="K143" s="21">
        <f t="shared" si="2"/>
        <v>0.16082474226804125</v>
      </c>
      <c r="U143" s="20">
        <v>0.97</v>
      </c>
      <c r="V143" s="21">
        <f t="shared" si="3"/>
        <v>8.8158504295239901E-2</v>
      </c>
    </row>
    <row r="144" spans="10:22">
      <c r="J144" s="20">
        <v>0.98</v>
      </c>
      <c r="K144" s="21">
        <f t="shared" si="2"/>
        <v>0.15918367346938778</v>
      </c>
      <c r="U144" s="20">
        <v>0.98</v>
      </c>
      <c r="V144" s="21">
        <f t="shared" si="3"/>
        <v>8.76176515505558E-2</v>
      </c>
    </row>
    <row r="145" spans="10:22">
      <c r="J145" s="20">
        <v>0.99</v>
      </c>
      <c r="K145" s="21">
        <f t="shared" si="2"/>
        <v>0.15757575757575759</v>
      </c>
      <c r="U145" s="20">
        <v>0.99</v>
      </c>
      <c r="V145" s="21">
        <f t="shared" si="3"/>
        <v>8.7085557633175895E-2</v>
      </c>
    </row>
    <row r="146" spans="10:22">
      <c r="J146" s="20">
        <v>1</v>
      </c>
      <c r="K146" s="21">
        <f t="shared" si="2"/>
        <v>0.156</v>
      </c>
      <c r="U146" s="20">
        <v>1</v>
      </c>
      <c r="V146" s="21">
        <f t="shared" si="3"/>
        <v>8.6561994354432834E-2</v>
      </c>
    </row>
    <row r="147" spans="10:22">
      <c r="J147" s="20">
        <v>1.01</v>
      </c>
      <c r="K147" s="21">
        <f t="shared" si="2"/>
        <v>0.15445544554455445</v>
      </c>
      <c r="U147" s="20">
        <v>1.01</v>
      </c>
      <c r="V147" s="21">
        <f t="shared" si="3"/>
        <v>8.5534555992705805E-2</v>
      </c>
    </row>
    <row r="148" spans="10:22">
      <c r="J148" s="20">
        <v>1.02</v>
      </c>
      <c r="K148" s="21">
        <f t="shared" si="2"/>
        <v>0.15294117647058825</v>
      </c>
      <c r="U148" s="20">
        <v>1.02</v>
      </c>
      <c r="V148" s="21">
        <f t="shared" si="3"/>
        <v>8.4529256247090984E-2</v>
      </c>
    </row>
    <row r="149" spans="10:22">
      <c r="J149" s="20">
        <v>1.03</v>
      </c>
      <c r="K149" s="21">
        <f t="shared" si="2"/>
        <v>0.15145631067961166</v>
      </c>
      <c r="U149" s="20">
        <v>1.03</v>
      </c>
      <c r="V149" s="21">
        <f t="shared" si="3"/>
        <v>8.3545407987640347E-2</v>
      </c>
    </row>
    <row r="150" spans="10:22">
      <c r="J150" s="20">
        <v>1.04</v>
      </c>
      <c r="K150" s="21">
        <f t="shared" si="2"/>
        <v>0.15</v>
      </c>
      <c r="U150" s="20">
        <v>1.04</v>
      </c>
      <c r="V150" s="21">
        <f t="shared" si="3"/>
        <v>8.2582351807001672E-2</v>
      </c>
    </row>
    <row r="151" spans="10:22">
      <c r="J151" s="20">
        <v>1.05</v>
      </c>
      <c r="K151" s="21">
        <f t="shared" si="2"/>
        <v>0.14857142857142858</v>
      </c>
      <c r="U151" s="20">
        <v>1.05</v>
      </c>
      <c r="V151" s="21">
        <f t="shared" si="3"/>
        <v>8.1639454648809451E-2</v>
      </c>
    </row>
    <row r="152" spans="10:22">
      <c r="J152" s="20">
        <v>1.06</v>
      </c>
      <c r="K152" s="21">
        <f t="shared" si="2"/>
        <v>0.14716981132075471</v>
      </c>
      <c r="U152" s="20">
        <v>1.06</v>
      </c>
      <c r="V152" s="21">
        <f t="shared" si="3"/>
        <v>8.0716108516225543E-2</v>
      </c>
    </row>
    <row r="153" spans="10:22">
      <c r="J153" s="20">
        <v>1.07</v>
      </c>
      <c r="K153" s="21">
        <f t="shared" si="2"/>
        <v>0.14579439252336449</v>
      </c>
      <c r="U153" s="20">
        <v>1.07</v>
      </c>
      <c r="V153" s="21">
        <f t="shared" si="3"/>
        <v>7.9811729255241243E-2</v>
      </c>
    </row>
    <row r="154" spans="10:22">
      <c r="J154" s="20">
        <v>1.08</v>
      </c>
      <c r="K154" s="21">
        <f t="shared" si="2"/>
        <v>0.14444444444444443</v>
      </c>
      <c r="U154" s="20">
        <v>1.08</v>
      </c>
      <c r="V154" s="21">
        <f t="shared" si="3"/>
        <v>7.8925755407761658E-2</v>
      </c>
    </row>
    <row r="155" spans="10:22">
      <c r="J155" s="20">
        <v>1.0900000000000001</v>
      </c>
      <c r="K155" s="21">
        <f t="shared" si="2"/>
        <v>0.14311926605504585</v>
      </c>
      <c r="U155" s="20">
        <v>1.0900000000000001</v>
      </c>
      <c r="V155" s="21">
        <f t="shared" si="3"/>
        <v>7.8057647129866833E-2</v>
      </c>
    </row>
    <row r="156" spans="10:22">
      <c r="J156" s="20">
        <v>1.1000000000000001</v>
      </c>
      <c r="K156" s="21">
        <f t="shared" si="2"/>
        <v>0.14181818181818182</v>
      </c>
      <c r="U156" s="20">
        <v>1.1000000000000001</v>
      </c>
      <c r="V156" s="21">
        <f t="shared" si="3"/>
        <v>7.7206885170987727E-2</v>
      </c>
    </row>
    <row r="157" spans="10:22">
      <c r="J157" s="20">
        <v>1.1100000000000001</v>
      </c>
      <c r="K157" s="21">
        <f t="shared" si="2"/>
        <v>0.14054054054054052</v>
      </c>
      <c r="U157" s="20">
        <v>1.1100000000000001</v>
      </c>
      <c r="V157" s="21">
        <f t="shared" si="3"/>
        <v>7.6372969910049354E-2</v>
      </c>
    </row>
    <row r="158" spans="10:22">
      <c r="J158" s="20">
        <v>1.1200000000000001</v>
      </c>
      <c r="K158" s="21">
        <f t="shared" si="2"/>
        <v>0.13928571428571429</v>
      </c>
      <c r="U158" s="20">
        <v>1.1200000000000001</v>
      </c>
      <c r="V158" s="21">
        <f t="shared" si="3"/>
        <v>7.5555420444921875E-2</v>
      </c>
    </row>
    <row r="159" spans="10:22">
      <c r="J159" s="20">
        <v>1.1299999999999999</v>
      </c>
      <c r="K159" s="21">
        <f t="shared" si="2"/>
        <v>0.13805309734513277</v>
      </c>
      <c r="U159" s="20">
        <v>1.1299999999999999</v>
      </c>
      <c r="V159" s="21">
        <f t="shared" si="3"/>
        <v>7.4753773731786821E-2</v>
      </c>
    </row>
    <row r="160" spans="10:22">
      <c r="J160" s="20">
        <v>1.1399999999999999</v>
      </c>
      <c r="K160" s="21">
        <f t="shared" si="2"/>
        <v>0.1368421052631579</v>
      </c>
      <c r="U160" s="20">
        <v>1.1399999999999999</v>
      </c>
      <c r="V160" s="21">
        <f t="shared" si="3"/>
        <v>7.3967583771267692E-2</v>
      </c>
    </row>
    <row r="161" spans="10:22">
      <c r="J161" s="20">
        <v>1.1499999999999999</v>
      </c>
      <c r="K161" s="21">
        <f t="shared" si="2"/>
        <v>0.13565217391304349</v>
      </c>
      <c r="U161" s="20">
        <v>1.1499999999999999</v>
      </c>
      <c r="V161" s="21">
        <f t="shared" si="3"/>
        <v>7.3196420838400819E-2</v>
      </c>
    </row>
    <row r="162" spans="10:22">
      <c r="J162" s="20">
        <v>1.1599999999999999</v>
      </c>
      <c r="K162" s="21">
        <f t="shared" si="2"/>
        <v>0.13448275862068967</v>
      </c>
      <c r="U162" s="20">
        <v>1.1599999999999999</v>
      </c>
      <c r="V162" s="21">
        <f t="shared" si="3"/>
        <v>7.2439870753726557E-2</v>
      </c>
    </row>
    <row r="163" spans="10:22">
      <c r="J163" s="20">
        <v>1.17</v>
      </c>
      <c r="K163" s="21">
        <f t="shared" si="2"/>
        <v>0.13333333333333336</v>
      </c>
      <c r="U163" s="20">
        <v>1.17</v>
      </c>
      <c r="V163" s="21">
        <f t="shared" si="3"/>
        <v>7.1697534192973436E-2</v>
      </c>
    </row>
    <row r="164" spans="10:22">
      <c r="J164" s="20">
        <v>1.18</v>
      </c>
      <c r="K164" s="21">
        <f t="shared" si="2"/>
        <v>0.13220338983050847</v>
      </c>
      <c r="U164" s="20">
        <v>1.18</v>
      </c>
      <c r="V164" s="21">
        <f t="shared" si="3"/>
        <v>7.0969026032982011E-2</v>
      </c>
    </row>
    <row r="165" spans="10:22">
      <c r="J165" s="20">
        <v>1.19</v>
      </c>
      <c r="K165" s="21">
        <f t="shared" si="2"/>
        <v>0.13109243697478992</v>
      </c>
      <c r="U165" s="20">
        <v>1.19</v>
      </c>
      <c r="V165" s="21">
        <f t="shared" si="3"/>
        <v>7.0253974731677743E-2</v>
      </c>
    </row>
    <row r="166" spans="10:22">
      <c r="J166" s="20">
        <v>1.2</v>
      </c>
      <c r="K166" s="21">
        <f t="shared" si="2"/>
        <v>0.13</v>
      </c>
      <c r="U166" s="20">
        <v>1.2</v>
      </c>
      <c r="V166" s="21">
        <f t="shared" si="3"/>
        <v>6.9552021740051553E-2</v>
      </c>
    </row>
    <row r="167" spans="10:22">
      <c r="J167" s="20">
        <v>1.21</v>
      </c>
      <c r="K167" s="21">
        <f t="shared" si="2"/>
        <v>0.12892561983471076</v>
      </c>
      <c r="U167" s="20">
        <v>1.21</v>
      </c>
      <c r="V167" s="21">
        <f t="shared" si="3"/>
        <v>6.8862820944245395E-2</v>
      </c>
    </row>
    <row r="168" spans="10:22">
      <c r="J168" s="20">
        <v>1.22</v>
      </c>
      <c r="K168" s="21">
        <f t="shared" si="2"/>
        <v>0.12786885245901639</v>
      </c>
      <c r="U168" s="20">
        <v>1.22</v>
      </c>
      <c r="V168" s="21">
        <f t="shared" si="3"/>
        <v>6.8186038135967117E-2</v>
      </c>
    </row>
    <row r="169" spans="10:22">
      <c r="J169" s="20">
        <v>1.23</v>
      </c>
      <c r="K169" s="21">
        <f t="shared" si="2"/>
        <v>0.12682926829268293</v>
      </c>
      <c r="U169" s="20">
        <v>1.23</v>
      </c>
      <c r="V169" s="21">
        <f t="shared" si="3"/>
        <v>6.7521350509578193E-2</v>
      </c>
    </row>
    <row r="170" spans="10:22">
      <c r="J170" s="20">
        <v>1.24</v>
      </c>
      <c r="K170" s="21">
        <f t="shared" si="2"/>
        <v>0.12580645161290321</v>
      </c>
      <c r="U170" s="20">
        <v>1.24</v>
      </c>
      <c r="V170" s="21">
        <f t="shared" si="3"/>
        <v>6.686844618430654E-2</v>
      </c>
    </row>
    <row r="171" spans="10:22">
      <c r="J171" s="20">
        <v>1.25</v>
      </c>
      <c r="K171" s="21">
        <f t="shared" si="2"/>
        <v>0.12479999999999999</v>
      </c>
      <c r="U171" s="20">
        <v>1.25</v>
      </c>
      <c r="V171" s="21">
        <f t="shared" si="3"/>
        <v>6.6227023750138336E-2</v>
      </c>
    </row>
    <row r="172" spans="10:22">
      <c r="J172" s="20">
        <v>1.26</v>
      </c>
      <c r="K172" s="21">
        <f t="shared" si="2"/>
        <v>0.12380952380952381</v>
      </c>
      <c r="U172" s="20">
        <v>1.26</v>
      </c>
      <c r="V172" s="21">
        <f t="shared" si="3"/>
        <v>6.5596791836037088E-2</v>
      </c>
    </row>
    <row r="173" spans="10:22">
      <c r="J173" s="20">
        <v>1.27</v>
      </c>
      <c r="K173" s="21">
        <f t="shared" si="2"/>
        <v>0.12283464566929134</v>
      </c>
      <c r="U173" s="20">
        <v>1.27</v>
      </c>
      <c r="V173" s="21">
        <f t="shared" si="3"/>
        <v>6.4977468699225036E-2</v>
      </c>
    </row>
    <row r="174" spans="10:22">
      <c r="J174" s="20">
        <v>1.28</v>
      </c>
      <c r="K174" s="21">
        <f t="shared" si="2"/>
        <v>0.12187500000000001</v>
      </c>
      <c r="U174" s="20">
        <v>1.28</v>
      </c>
      <c r="V174" s="21">
        <f t="shared" si="3"/>
        <v>6.4368781834342845E-2</v>
      </c>
    </row>
    <row r="175" spans="10:22">
      <c r="J175" s="20">
        <v>1.29</v>
      </c>
      <c r="K175" s="21">
        <f t="shared" ref="K175:K238" si="4">IF(J175&lt;$G$44,$B$44*$C$44*$D$44*(2/3+(J175/$G$44)*(2.5*$E$44/$F$44-2/3)),IF(J175&lt;$H$44,$B$44*$C$44*$D$44*(2.5*$E$44/$F$44),IF(J175&lt;$I$44,$B$44*$C$44*$D$44*(2.5*$E$44/$F$44)*($H$44/J175),$B$44*$C$44*$D$44*(2.5*$E$44/$F$44)*($H$44*$I$44/J175^2))))</f>
        <v>0.12093023255813953</v>
      </c>
      <c r="U175" s="20">
        <v>1.29</v>
      </c>
      <c r="V175" s="21">
        <f t="shared" ref="V175:V238" si="5">IF(U175&lt;$Q$44,$N$44*$O$44*(2/3+(U175/$Q$44)*(2.5/$P$44-2/3)),IF(U175&lt;$R$44,$N$44*$O$44*(2.5/$P$44),IF(U175&lt;$S$44,$N$44*$O$44*(2.5/$P$44)*(($R$44/U175)^$T$44),$N$44*$O$44*(2.5/$P$44)*($R$44*$S$44/U175^2)^$T$44)))</f>
        <v>6.3770467601379499E-2</v>
      </c>
    </row>
    <row r="176" spans="10:22">
      <c r="J176" s="20">
        <v>1.3</v>
      </c>
      <c r="K176" s="21">
        <f t="shared" si="4"/>
        <v>0.12</v>
      </c>
      <c r="U176" s="20">
        <v>1.3</v>
      </c>
      <c r="V176" s="21">
        <f t="shared" si="5"/>
        <v>6.318227087133306E-2</v>
      </c>
    </row>
    <row r="177" spans="10:22">
      <c r="J177" s="20">
        <v>1.31</v>
      </c>
      <c r="K177" s="21">
        <f t="shared" si="4"/>
        <v>0.11908396946564885</v>
      </c>
      <c r="U177" s="20">
        <v>1.31</v>
      </c>
      <c r="V177" s="21">
        <f t="shared" si="5"/>
        <v>6.2603944688628843E-2</v>
      </c>
    </row>
    <row r="178" spans="10:22">
      <c r="J178" s="20">
        <v>1.32</v>
      </c>
      <c r="K178" s="21">
        <f t="shared" si="4"/>
        <v>0.11818181818181818</v>
      </c>
      <c r="U178" s="20">
        <v>1.32</v>
      </c>
      <c r="V178" s="21">
        <f t="shared" si="5"/>
        <v>6.203524994938165E-2</v>
      </c>
    </row>
    <row r="179" spans="10:22">
      <c r="J179" s="20">
        <v>1.33</v>
      </c>
      <c r="K179" s="21">
        <f t="shared" si="4"/>
        <v>0.11729323308270677</v>
      </c>
      <c r="U179" s="20">
        <v>1.33</v>
      </c>
      <c r="V179" s="21">
        <f t="shared" si="5"/>
        <v>6.1475955094644888E-2</v>
      </c>
    </row>
    <row r="180" spans="10:22">
      <c r="J180" s="20">
        <v>1.34</v>
      </c>
      <c r="K180" s="21">
        <f t="shared" si="4"/>
        <v>0.11641791044776119</v>
      </c>
      <c r="U180" s="20">
        <v>1.34</v>
      </c>
      <c r="V180" s="21">
        <f t="shared" si="5"/>
        <v>6.0925835817841917E-2</v>
      </c>
    </row>
    <row r="181" spans="10:22">
      <c r="J181" s="20">
        <v>1.35</v>
      </c>
      <c r="K181" s="21">
        <f t="shared" si="4"/>
        <v>0.11555555555555555</v>
      </c>
      <c r="U181" s="20">
        <v>1.35</v>
      </c>
      <c r="V181" s="21">
        <f t="shared" si="5"/>
        <v>6.0384674785623926E-2</v>
      </c>
    </row>
    <row r="182" spans="10:22">
      <c r="J182" s="20">
        <v>1.36</v>
      </c>
      <c r="K182" s="21">
        <f t="shared" si="4"/>
        <v>0.11470588235294116</v>
      </c>
      <c r="U182" s="20">
        <v>1.36</v>
      </c>
      <c r="V182" s="21">
        <f t="shared" si="5"/>
        <v>5.9852261371443879E-2</v>
      </c>
    </row>
    <row r="183" spans="10:22">
      <c r="J183" s="20">
        <v>1.37</v>
      </c>
      <c r="K183" s="21">
        <f t="shared" si="4"/>
        <v>0.11386861313868613</v>
      </c>
      <c r="U183" s="20">
        <v>1.37</v>
      </c>
      <c r="V183" s="21">
        <f t="shared" si="5"/>
        <v>5.9328391401178966E-2</v>
      </c>
    </row>
    <row r="184" spans="10:22">
      <c r="J184" s="20">
        <v>1.38</v>
      </c>
      <c r="K184" s="21">
        <f t="shared" si="4"/>
        <v>0.11304347826086958</v>
      </c>
      <c r="U184" s="20">
        <v>1.38</v>
      </c>
      <c r="V184" s="21">
        <f t="shared" si="5"/>
        <v>5.8812866910173144E-2</v>
      </c>
    </row>
    <row r="185" spans="10:22">
      <c r="J185" s="20">
        <v>1.39</v>
      </c>
      <c r="K185" s="21">
        <f t="shared" si="4"/>
        <v>0.11223021582733814</v>
      </c>
      <c r="U185" s="20">
        <v>1.39</v>
      </c>
      <c r="V185" s="21">
        <f t="shared" si="5"/>
        <v>5.8305495911108701E-2</v>
      </c>
    </row>
    <row r="186" spans="10:22">
      <c r="J186" s="20">
        <v>1.4</v>
      </c>
      <c r="K186" s="21">
        <f t="shared" si="4"/>
        <v>0.11142857142857145</v>
      </c>
      <c r="U186" s="20">
        <v>1.4</v>
      </c>
      <c r="V186" s="21">
        <f t="shared" si="5"/>
        <v>5.7806092172150658E-2</v>
      </c>
    </row>
    <row r="187" spans="10:22">
      <c r="J187" s="20">
        <v>1.41</v>
      </c>
      <c r="K187" s="21">
        <f t="shared" si="4"/>
        <v>0.11063829787234043</v>
      </c>
      <c r="U187" s="20">
        <v>1.41</v>
      </c>
      <c r="V187" s="21">
        <f t="shared" si="5"/>
        <v>5.7314475004839271E-2</v>
      </c>
    </row>
    <row r="188" spans="10:22">
      <c r="J188" s="20">
        <v>1.42</v>
      </c>
      <c r="K188" s="21">
        <f t="shared" si="4"/>
        <v>0.10985915492957747</v>
      </c>
      <c r="U188" s="20">
        <v>1.42</v>
      </c>
      <c r="V188" s="21">
        <f t="shared" si="5"/>
        <v>5.6830469061237156E-2</v>
      </c>
    </row>
    <row r="189" spans="10:22">
      <c r="J189" s="20">
        <v>1.43</v>
      </c>
      <c r="K189" s="21">
        <f t="shared" si="4"/>
        <v>0.1090909090909091</v>
      </c>
      <c r="U189" s="20">
        <v>1.43</v>
      </c>
      <c r="V189" s="21">
        <f t="shared" si="5"/>
        <v>5.6353904139865144E-2</v>
      </c>
    </row>
    <row r="190" spans="10:22">
      <c r="J190" s="20">
        <v>1.44</v>
      </c>
      <c r="K190" s="21">
        <f t="shared" si="4"/>
        <v>0.10833333333333334</v>
      </c>
      <c r="U190" s="20">
        <v>1.44</v>
      </c>
      <c r="V190" s="21">
        <f t="shared" si="5"/>
        <v>5.5884614999987904E-2</v>
      </c>
    </row>
    <row r="191" spans="10:22">
      <c r="J191" s="20">
        <v>1.45</v>
      </c>
      <c r="K191" s="21">
        <f t="shared" si="4"/>
        <v>0.10758620689655173</v>
      </c>
      <c r="U191" s="20">
        <v>1.45</v>
      </c>
      <c r="V191" s="21">
        <f t="shared" si="5"/>
        <v>5.542244118383486E-2</v>
      </c>
    </row>
    <row r="192" spans="10:22">
      <c r="J192" s="20">
        <v>1.46</v>
      </c>
      <c r="K192" s="21">
        <f t="shared" si="4"/>
        <v>0.10684931506849314</v>
      </c>
      <c r="U192" s="20">
        <v>1.46</v>
      </c>
      <c r="V192" s="21">
        <f t="shared" si="5"/>
        <v>5.4967226846365513E-2</v>
      </c>
    </row>
    <row r="193" spans="10:22">
      <c r="J193" s="20">
        <v>1.47</v>
      </c>
      <c r="K193" s="21">
        <f t="shared" si="4"/>
        <v>0.10612244897959185</v>
      </c>
      <c r="U193" s="20">
        <v>1.47</v>
      </c>
      <c r="V193" s="21">
        <f t="shared" si="5"/>
        <v>5.4518820592209707E-2</v>
      </c>
    </row>
    <row r="194" spans="10:22">
      <c r="J194" s="20">
        <v>1.48</v>
      </c>
      <c r="K194" s="21">
        <f t="shared" si="4"/>
        <v>0.1054054054054054</v>
      </c>
      <c r="U194" s="20">
        <v>1.48</v>
      </c>
      <c r="V194" s="21">
        <f t="shared" si="5"/>
        <v>5.4077075319434204E-2</v>
      </c>
    </row>
    <row r="195" spans="10:22">
      <c r="J195" s="20">
        <v>1.49</v>
      </c>
      <c r="K195" s="21">
        <f t="shared" si="4"/>
        <v>0.1046979865771812</v>
      </c>
      <c r="U195" s="20">
        <v>1.49</v>
      </c>
      <c r="V195" s="21">
        <f t="shared" si="5"/>
        <v>5.3641848069805799E-2</v>
      </c>
    </row>
    <row r="196" spans="10:22">
      <c r="J196" s="20">
        <v>1.5</v>
      </c>
      <c r="K196" s="21">
        <f t="shared" si="4"/>
        <v>0.104</v>
      </c>
      <c r="U196" s="20">
        <v>1.5</v>
      </c>
      <c r="V196" s="21">
        <f t="shared" si="5"/>
        <v>5.3212999885239434E-2</v>
      </c>
    </row>
    <row r="197" spans="10:22">
      <c r="J197" s="20">
        <v>1.51</v>
      </c>
      <c r="K197" s="21">
        <f t="shared" si="4"/>
        <v>0.10331125827814569</v>
      </c>
      <c r="U197" s="20">
        <v>1.51</v>
      </c>
      <c r="V197" s="21">
        <f t="shared" si="5"/>
        <v>5.2790395670136596E-2</v>
      </c>
    </row>
    <row r="198" spans="10:22">
      <c r="J198" s="20">
        <v>1.52</v>
      </c>
      <c r="K198" s="21">
        <f t="shared" si="4"/>
        <v>0.10263157894736842</v>
      </c>
      <c r="U198" s="20">
        <v>1.52</v>
      </c>
      <c r="V198" s="21">
        <f t="shared" si="5"/>
        <v>5.2373904059334973E-2</v>
      </c>
    </row>
    <row r="199" spans="10:22">
      <c r="J199" s="20">
        <v>1.53</v>
      </c>
      <c r="K199" s="21">
        <f t="shared" si="4"/>
        <v>0.10196078431372549</v>
      </c>
      <c r="U199" s="20">
        <v>1.53</v>
      </c>
      <c r="V199" s="21">
        <f t="shared" si="5"/>
        <v>5.1963397291405908E-2</v>
      </c>
    </row>
    <row r="200" spans="10:22">
      <c r="J200" s="20">
        <v>1.54</v>
      </c>
      <c r="K200" s="21">
        <f t="shared" si="4"/>
        <v>0.10129870129870129</v>
      </c>
      <c r="U200" s="20">
        <v>1.54</v>
      </c>
      <c r="V200" s="21">
        <f t="shared" si="5"/>
        <v>5.1558751087049312E-2</v>
      </c>
    </row>
    <row r="201" spans="10:22">
      <c r="J201" s="20">
        <v>1.55</v>
      </c>
      <c r="K201" s="21">
        <f t="shared" si="4"/>
        <v>0.10064516129032258</v>
      </c>
      <c r="U201" s="20">
        <v>1.55</v>
      </c>
      <c r="V201" s="21">
        <f t="shared" si="5"/>
        <v>5.1159844532349688E-2</v>
      </c>
    </row>
    <row r="202" spans="10:22">
      <c r="J202" s="20">
        <v>1.56</v>
      </c>
      <c r="K202" s="21">
        <f t="shared" si="4"/>
        <v>9.9999999999999992E-2</v>
      </c>
      <c r="U202" s="20">
        <v>1.56</v>
      </c>
      <c r="V202" s="21">
        <f t="shared" si="5"/>
        <v>5.076655996666906E-2</v>
      </c>
    </row>
    <row r="203" spans="10:22">
      <c r="J203" s="20">
        <v>1.57</v>
      </c>
      <c r="K203" s="21">
        <f t="shared" si="4"/>
        <v>9.9363057324840756E-2</v>
      </c>
      <c r="U203" s="20">
        <v>1.57</v>
      </c>
      <c r="V203" s="21">
        <f t="shared" si="5"/>
        <v>5.0378782874964091E-2</v>
      </c>
    </row>
    <row r="204" spans="10:22">
      <c r="J204" s="20">
        <v>1.58</v>
      </c>
      <c r="K204" s="21">
        <f t="shared" si="4"/>
        <v>9.8734177215189872E-2</v>
      </c>
      <c r="U204" s="20">
        <v>1.58</v>
      </c>
      <c r="V204" s="21">
        <f t="shared" si="5"/>
        <v>4.9996401784326086E-2</v>
      </c>
    </row>
    <row r="205" spans="10:22">
      <c r="J205" s="20">
        <v>1.59</v>
      </c>
      <c r="K205" s="21">
        <f t="shared" si="4"/>
        <v>9.8113207547169803E-2</v>
      </c>
      <c r="U205" s="20">
        <v>1.59</v>
      </c>
      <c r="V205" s="21">
        <f t="shared" si="5"/>
        <v>4.9619308164552824E-2</v>
      </c>
    </row>
    <row r="206" spans="10:22">
      <c r="J206" s="20">
        <v>1.6</v>
      </c>
      <c r="K206" s="21">
        <f t="shared" si="4"/>
        <v>9.7499999999999989E-2</v>
      </c>
      <c r="U206" s="20">
        <v>1.6</v>
      </c>
      <c r="V206" s="21">
        <f t="shared" si="5"/>
        <v>4.9247396332570637E-2</v>
      </c>
    </row>
    <row r="207" spans="10:22">
      <c r="J207" s="20">
        <v>1.61</v>
      </c>
      <c r="K207" s="21">
        <f t="shared" si="4"/>
        <v>9.6894409937888198E-2</v>
      </c>
      <c r="U207" s="20">
        <v>1.61</v>
      </c>
      <c r="V207" s="21">
        <f t="shared" si="5"/>
        <v>4.8880563360534993E-2</v>
      </c>
    </row>
    <row r="208" spans="10:22">
      <c r="J208" s="20">
        <v>1.62</v>
      </c>
      <c r="K208" s="21">
        <f t="shared" si="4"/>
        <v>9.6296296296296297E-2</v>
      </c>
      <c r="U208" s="20">
        <v>1.62</v>
      </c>
      <c r="V208" s="21">
        <f t="shared" si="5"/>
        <v>4.8518708987445855E-2</v>
      </c>
    </row>
    <row r="209" spans="10:22">
      <c r="J209" s="20">
        <v>1.63</v>
      </c>
      <c r="K209" s="21">
        <f t="shared" si="4"/>
        <v>9.5705521472392641E-2</v>
      </c>
      <c r="U209" s="20">
        <v>1.63</v>
      </c>
      <c r="V209" s="21">
        <f t="shared" si="5"/>
        <v>4.8161735534123062E-2</v>
      </c>
    </row>
    <row r="210" spans="10:22">
      <c r="J210" s="20">
        <v>1.64</v>
      </c>
      <c r="K210" s="21">
        <f t="shared" si="4"/>
        <v>9.5121951219512196E-2</v>
      </c>
      <c r="U210" s="20">
        <v>1.64</v>
      </c>
      <c r="V210" s="21">
        <f t="shared" si="5"/>
        <v>4.7809547821393829E-2</v>
      </c>
    </row>
    <row r="211" spans="10:22">
      <c r="J211" s="20">
        <v>1.65</v>
      </c>
      <c r="K211" s="21">
        <f t="shared" si="4"/>
        <v>9.4545454545454558E-2</v>
      </c>
      <c r="U211" s="20">
        <v>1.65</v>
      </c>
      <c r="V211" s="21">
        <f t="shared" si="5"/>
        <v>4.7462053091352728E-2</v>
      </c>
    </row>
    <row r="212" spans="10:22">
      <c r="J212" s="20">
        <v>1.66</v>
      </c>
      <c r="K212" s="21">
        <f t="shared" si="4"/>
        <v>9.3975903614457831E-2</v>
      </c>
      <c r="U212" s="20">
        <v>1.66</v>
      </c>
      <c r="V212" s="21">
        <f t="shared" si="5"/>
        <v>4.7119160931560718E-2</v>
      </c>
    </row>
    <row r="213" spans="10:22">
      <c r="J213" s="20">
        <v>1.67</v>
      </c>
      <c r="K213" s="21">
        <f t="shared" si="4"/>
        <v>9.3413173652694609E-2</v>
      </c>
      <c r="U213" s="20">
        <v>1.67</v>
      </c>
      <c r="V213" s="21">
        <f t="shared" si="5"/>
        <v>4.6780783202056593E-2</v>
      </c>
    </row>
    <row r="214" spans="10:22">
      <c r="J214" s="20">
        <v>1.68</v>
      </c>
      <c r="K214" s="21">
        <f t="shared" si="4"/>
        <v>9.285714285714286E-2</v>
      </c>
      <c r="U214" s="20">
        <v>1.68</v>
      </c>
      <c r="V214" s="21">
        <f t="shared" si="5"/>
        <v>4.6446833965060511E-2</v>
      </c>
    </row>
    <row r="215" spans="10:22">
      <c r="J215" s="20">
        <v>1.69</v>
      </c>
      <c r="K215" s="21">
        <f t="shared" si="4"/>
        <v>9.2307692307692313E-2</v>
      </c>
      <c r="U215" s="20">
        <v>1.69</v>
      </c>
      <c r="V215" s="21">
        <f t="shared" si="5"/>
        <v>4.6117229417254907E-2</v>
      </c>
    </row>
    <row r="216" spans="10:22">
      <c r="J216" s="20">
        <v>1.7</v>
      </c>
      <c r="K216" s="21">
        <f t="shared" si="4"/>
        <v>9.1764705882352957E-2</v>
      </c>
      <c r="U216" s="20">
        <v>1.7</v>
      </c>
      <c r="V216" s="21">
        <f t="shared" si="5"/>
        <v>4.5791887824533625E-2</v>
      </c>
    </row>
    <row r="217" spans="10:22">
      <c r="J217" s="20">
        <v>1.71</v>
      </c>
      <c r="K217" s="21">
        <f t="shared" si="4"/>
        <v>9.1228070175438589E-2</v>
      </c>
      <c r="U217" s="20">
        <v>1.71</v>
      </c>
      <c r="V217" s="21">
        <f t="shared" si="5"/>
        <v>4.5470729459115601E-2</v>
      </c>
    </row>
    <row r="218" spans="10:22">
      <c r="J218" s="20">
        <v>1.72</v>
      </c>
      <c r="K218" s="21">
        <f t="shared" si="4"/>
        <v>9.0697674418604657E-2</v>
      </c>
      <c r="U218" s="20">
        <v>1.72</v>
      </c>
      <c r="V218" s="21">
        <f t="shared" si="5"/>
        <v>4.5153676538923916E-2</v>
      </c>
    </row>
    <row r="219" spans="10:22">
      <c r="J219" s="20">
        <v>1.73</v>
      </c>
      <c r="K219" s="21">
        <f t="shared" si="4"/>
        <v>9.0173410404624274E-2</v>
      </c>
      <c r="U219" s="20">
        <v>1.73</v>
      </c>
      <c r="V219" s="21">
        <f t="shared" si="5"/>
        <v>4.4840653169136262E-2</v>
      </c>
    </row>
    <row r="220" spans="10:22">
      <c r="J220" s="20">
        <v>1.74</v>
      </c>
      <c r="K220" s="21">
        <f t="shared" si="4"/>
        <v>8.9655172413793102E-2</v>
      </c>
      <c r="U220" s="20">
        <v>1.74</v>
      </c>
      <c r="V220" s="21">
        <f t="shared" si="5"/>
        <v>4.4531585285816709E-2</v>
      </c>
    </row>
    <row r="221" spans="10:22">
      <c r="J221" s="20">
        <v>1.75</v>
      </c>
      <c r="K221" s="21">
        <f t="shared" si="4"/>
        <v>8.9142857142857149E-2</v>
      </c>
      <c r="U221" s="20">
        <v>1.75</v>
      </c>
      <c r="V221" s="21">
        <f t="shared" si="5"/>
        <v>4.4226400601543661E-2</v>
      </c>
    </row>
    <row r="222" spans="10:22">
      <c r="J222" s="20">
        <v>1.76</v>
      </c>
      <c r="K222" s="21">
        <f t="shared" si="4"/>
        <v>8.8636363636363638E-2</v>
      </c>
      <c r="U222" s="20">
        <v>1.76</v>
      </c>
      <c r="V222" s="21">
        <f t="shared" si="5"/>
        <v>4.3925028552951696E-2</v>
      </c>
    </row>
    <row r="223" spans="10:22">
      <c r="J223" s="20">
        <v>1.77</v>
      </c>
      <c r="K223" s="21">
        <f t="shared" si="4"/>
        <v>8.8135593220338981E-2</v>
      </c>
      <c r="U223" s="20">
        <v>1.77</v>
      </c>
      <c r="V223" s="21">
        <f t="shared" si="5"/>
        <v>4.3627400250110276E-2</v>
      </c>
    </row>
    <row r="224" spans="10:22">
      <c r="J224" s="20">
        <v>1.78</v>
      </c>
      <c r="K224" s="21">
        <f t="shared" si="4"/>
        <v>8.7640449438202248E-2</v>
      </c>
      <c r="U224" s="20">
        <v>1.78</v>
      </c>
      <c r="V224" s="21">
        <f t="shared" si="5"/>
        <v>4.3333448427664421E-2</v>
      </c>
    </row>
    <row r="225" spans="10:22">
      <c r="J225" s="20">
        <v>1.79</v>
      </c>
      <c r="K225" s="21">
        <f t="shared" si="4"/>
        <v>8.7150837988826807E-2</v>
      </c>
      <c r="U225" s="20">
        <v>1.79</v>
      </c>
      <c r="V225" s="21">
        <f t="shared" si="5"/>
        <v>4.304310739766682E-2</v>
      </c>
    </row>
    <row r="226" spans="10:22">
      <c r="J226" s="20">
        <v>1.8</v>
      </c>
      <c r="K226" s="21">
        <f t="shared" si="4"/>
        <v>8.666666666666667E-2</v>
      </c>
      <c r="U226" s="20">
        <v>1.8</v>
      </c>
      <c r="V226" s="21">
        <f t="shared" si="5"/>
        <v>4.2756313004033777E-2</v>
      </c>
    </row>
    <row r="227" spans="10:22">
      <c r="J227" s="20">
        <v>1.81</v>
      </c>
      <c r="K227" s="21">
        <f t="shared" si="4"/>
        <v>8.6187845303867403E-2</v>
      </c>
      <c r="U227" s="20">
        <v>1.81</v>
      </c>
      <c r="V227" s="21">
        <f t="shared" si="5"/>
        <v>4.24730025785603E-2</v>
      </c>
    </row>
    <row r="228" spans="10:22">
      <c r="J228" s="20">
        <v>1.82</v>
      </c>
      <c r="K228" s="21">
        <f t="shared" si="4"/>
        <v>8.5714285714285715E-2</v>
      </c>
      <c r="U228" s="20">
        <v>1.82</v>
      </c>
      <c r="V228" s="21">
        <f t="shared" si="5"/>
        <v>4.2193114898432707E-2</v>
      </c>
    </row>
    <row r="229" spans="10:22">
      <c r="J229" s="20">
        <v>1.83</v>
      </c>
      <c r="K229" s="21">
        <f t="shared" si="4"/>
        <v>8.5245901639344257E-2</v>
      </c>
      <c r="U229" s="20">
        <v>1.83</v>
      </c>
      <c r="V229" s="21">
        <f t="shared" si="5"/>
        <v>4.1916590145180052E-2</v>
      </c>
    </row>
    <row r="230" spans="10:22">
      <c r="J230" s="20">
        <v>1.84</v>
      </c>
      <c r="K230" s="21">
        <f t="shared" si="4"/>
        <v>8.478260869565217E-2</v>
      </c>
      <c r="U230" s="20">
        <v>1.84</v>
      </c>
      <c r="V230" s="21">
        <f t="shared" si="5"/>
        <v>4.1643369865007725E-2</v>
      </c>
    </row>
    <row r="231" spans="10:22">
      <c r="J231" s="20">
        <v>1.85</v>
      </c>
      <c r="K231" s="21">
        <f t="shared" si="4"/>
        <v>8.4324324324324323E-2</v>
      </c>
      <c r="U231" s="20">
        <v>1.85</v>
      </c>
      <c r="V231" s="21">
        <f t="shared" si="5"/>
        <v>4.1373396930460007E-2</v>
      </c>
    </row>
    <row r="232" spans="10:22">
      <c r="J232" s="20">
        <v>1.86</v>
      </c>
      <c r="K232" s="21">
        <f t="shared" si="4"/>
        <v>8.387096774193549E-2</v>
      </c>
      <c r="U232" s="20">
        <v>1.86</v>
      </c>
      <c r="V232" s="21">
        <f t="shared" si="5"/>
        <v>4.1106615503359471E-2</v>
      </c>
    </row>
    <row r="233" spans="10:22">
      <c r="J233" s="20">
        <v>1.87</v>
      </c>
      <c r="K233" s="21">
        <f t="shared" si="4"/>
        <v>8.3422459893048112E-2</v>
      </c>
      <c r="U233" s="20">
        <v>1.87</v>
      </c>
      <c r="V233" s="21">
        <f t="shared" si="5"/>
        <v>4.0842970998974784E-2</v>
      </c>
    </row>
    <row r="234" spans="10:22">
      <c r="J234" s="20">
        <v>1.88</v>
      </c>
      <c r="K234" s="21">
        <f t="shared" si="4"/>
        <v>8.2978723404255328E-2</v>
      </c>
      <c r="U234" s="20">
        <v>1.88</v>
      </c>
      <c r="V234" s="21">
        <f t="shared" si="5"/>
        <v>4.0582410051369422E-2</v>
      </c>
    </row>
    <row r="235" spans="10:22">
      <c r="J235" s="20">
        <v>1.89</v>
      </c>
      <c r="K235" s="21">
        <f t="shared" si="4"/>
        <v>8.2539682539682538E-2</v>
      </c>
      <c r="U235" s="20">
        <v>1.89</v>
      </c>
      <c r="V235" s="21">
        <f t="shared" si="5"/>
        <v>4.0324880479886548E-2</v>
      </c>
    </row>
    <row r="236" spans="10:22">
      <c r="J236" s="20">
        <v>1.9</v>
      </c>
      <c r="K236" s="21">
        <f t="shared" si="4"/>
        <v>8.2105263157894737E-2</v>
      </c>
      <c r="U236" s="20">
        <v>1.9</v>
      </c>
      <c r="V236" s="21">
        <f t="shared" si="5"/>
        <v>4.0070331256726849E-2</v>
      </c>
    </row>
    <row r="237" spans="10:22">
      <c r="J237" s="20">
        <v>1.91</v>
      </c>
      <c r="K237" s="21">
        <f t="shared" si="4"/>
        <v>8.1675392670157068E-2</v>
      </c>
      <c r="U237" s="20">
        <v>1.91</v>
      </c>
      <c r="V237" s="21">
        <f t="shared" si="5"/>
        <v>3.9818712475578479E-2</v>
      </c>
    </row>
    <row r="238" spans="10:22">
      <c r="J238" s="20">
        <v>1.92</v>
      </c>
      <c r="K238" s="21">
        <f t="shared" si="4"/>
        <v>8.1250000000000003E-2</v>
      </c>
      <c r="U238" s="20">
        <v>1.92</v>
      </c>
      <c r="V238" s="21">
        <f t="shared" si="5"/>
        <v>3.9569975321259242E-2</v>
      </c>
    </row>
    <row r="239" spans="10:22">
      <c r="J239" s="20">
        <v>1.93</v>
      </c>
      <c r="K239" s="21">
        <f t="shared" ref="K239:K302" si="6">IF(J239&lt;$G$44,$B$44*$C$44*$D$44*(2/3+(J239/$G$44)*(2.5*$E$44/$F$44-2/3)),IF(J239&lt;$H$44,$B$44*$C$44*$D$44*(2.5*$E$44/$F$44),IF(J239&lt;$I$44,$B$44*$C$44*$D$44*(2.5*$E$44/$F$44)*($H$44/J239),$B$44*$C$44*$D$44*(2.5*$E$44/$F$44)*($H$44*$I$44/J239^2))))</f>
        <v>8.0829015544041455E-2</v>
      </c>
      <c r="U239" s="20">
        <v>1.93</v>
      </c>
      <c r="V239" s="21">
        <f t="shared" ref="V239:V302" si="7">IF(U239&lt;$Q$44,$N$44*$O$44*(2/3+(U239/$Q$44)*(2.5/$P$44-2/3)),IF(U239&lt;$R$44,$N$44*$O$44*(2.5/$P$44),IF(U239&lt;$S$44,$N$44*$O$44*(2.5/$P$44)*(($R$44/U239)^$T$44),$N$44*$O$44*(2.5/$P$44)*($R$44*$S$44/U239^2)^$T$44)))</f>
        <v>3.9324072040333627E-2</v>
      </c>
    </row>
    <row r="240" spans="10:22">
      <c r="J240" s="20">
        <v>1.94</v>
      </c>
      <c r="K240" s="21">
        <f t="shared" si="6"/>
        <v>8.0412371134020624E-2</v>
      </c>
      <c r="U240" s="20">
        <v>1.94</v>
      </c>
      <c r="V240" s="21">
        <f t="shared" si="7"/>
        <v>3.9080955912668351E-2</v>
      </c>
    </row>
    <row r="241" spans="10:22">
      <c r="J241" s="20">
        <v>1.95</v>
      </c>
      <c r="K241" s="21">
        <f t="shared" si="6"/>
        <v>0.08</v>
      </c>
      <c r="U241" s="20">
        <v>1.95</v>
      </c>
      <c r="V241" s="21">
        <f t="shared" si="7"/>
        <v>3.8840581223891821E-2</v>
      </c>
    </row>
    <row r="242" spans="10:22">
      <c r="J242" s="20">
        <v>1.96</v>
      </c>
      <c r="K242" s="21">
        <f t="shared" si="6"/>
        <v>7.9591836734693888E-2</v>
      </c>
      <c r="U242" s="20">
        <v>1.96</v>
      </c>
      <c r="V242" s="21">
        <f t="shared" si="7"/>
        <v>3.8602903238724388E-2</v>
      </c>
    </row>
    <row r="243" spans="10:22">
      <c r="J243" s="20">
        <v>1.97</v>
      </c>
      <c r="K243" s="21">
        <f t="shared" si="6"/>
        <v>7.9187817258883242E-2</v>
      </c>
      <c r="U243" s="20">
        <v>1.97</v>
      </c>
      <c r="V243" s="21">
        <f t="shared" si="7"/>
        <v>3.8367878175147398E-2</v>
      </c>
    </row>
    <row r="244" spans="10:22">
      <c r="J244" s="20">
        <v>1.98</v>
      </c>
      <c r="K244" s="21">
        <f t="shared" si="6"/>
        <v>7.8787878787878796E-2</v>
      </c>
      <c r="U244" s="20">
        <v>1.98</v>
      </c>
      <c r="V244" s="21">
        <f t="shared" si="7"/>
        <v>3.8135463179380845E-2</v>
      </c>
    </row>
    <row r="245" spans="10:22">
      <c r="J245" s="20">
        <v>1.99</v>
      </c>
      <c r="K245" s="21">
        <f t="shared" si="6"/>
        <v>7.8391959798994965E-2</v>
      </c>
      <c r="U245" s="20">
        <v>1.99</v>
      </c>
      <c r="V245" s="21">
        <f t="shared" si="7"/>
        <v>3.7905616301640077E-2</v>
      </c>
    </row>
    <row r="246" spans="10:22">
      <c r="J246" s="20">
        <v>2</v>
      </c>
      <c r="K246" s="21">
        <f t="shared" si="6"/>
        <v>7.8E-2</v>
      </c>
      <c r="U246" s="20">
        <v>2</v>
      </c>
      <c r="V246" s="21">
        <f t="shared" si="7"/>
        <v>3.7678296472643716E-2</v>
      </c>
    </row>
    <row r="247" spans="10:22">
      <c r="J247" s="20">
        <v>2.0099999999999998</v>
      </c>
      <c r="K247" s="21">
        <f t="shared" si="6"/>
        <v>7.7225811242296008E-2</v>
      </c>
      <c r="U247" s="20">
        <v>2.0099999999999998</v>
      </c>
      <c r="V247" s="21">
        <f t="shared" si="7"/>
        <v>3.7453463480845911E-2</v>
      </c>
    </row>
    <row r="248" spans="10:22">
      <c r="J248" s="20">
        <v>2.02</v>
      </c>
      <c r="K248" s="21">
        <f t="shared" si="6"/>
        <v>7.646309185373984E-2</v>
      </c>
      <c r="U248" s="20">
        <v>2.02</v>
      </c>
      <c r="V248" s="21">
        <f t="shared" si="7"/>
        <v>3.723107795036696E-2</v>
      </c>
    </row>
    <row r="249" spans="10:22">
      <c r="J249" s="20">
        <v>2.0299999999999998</v>
      </c>
      <c r="K249" s="21">
        <f t="shared" si="6"/>
        <v>7.571161639447696E-2</v>
      </c>
      <c r="U249" s="20">
        <v>2.0299999999999998</v>
      </c>
      <c r="V249" s="21">
        <f t="shared" si="7"/>
        <v>3.7011101319597686E-2</v>
      </c>
    </row>
    <row r="250" spans="10:22">
      <c r="J250" s="20">
        <v>2.04</v>
      </c>
      <c r="K250" s="21">
        <f t="shared" si="6"/>
        <v>7.4971164936562862E-2</v>
      </c>
      <c r="U250" s="20">
        <v>2.04</v>
      </c>
      <c r="V250" s="21">
        <f t="shared" si="7"/>
        <v>3.6793495820453742E-2</v>
      </c>
    </row>
    <row r="251" spans="10:22">
      <c r="J251" s="20">
        <v>2.0499999999999998</v>
      </c>
      <c r="K251" s="21">
        <f t="shared" si="6"/>
        <v>7.4241522903033916E-2</v>
      </c>
      <c r="U251" s="20">
        <v>2.0499999999999998</v>
      </c>
      <c r="V251" s="21">
        <f t="shared" si="7"/>
        <v>3.6578224458257043E-2</v>
      </c>
    </row>
    <row r="252" spans="10:22">
      <c r="J252" s="20">
        <v>2.06</v>
      </c>
      <c r="K252" s="21">
        <f t="shared" si="6"/>
        <v>7.3522480912432839E-2</v>
      </c>
      <c r="U252" s="20">
        <v>2.06</v>
      </c>
      <c r="V252" s="21">
        <f t="shared" si="7"/>
        <v>3.6365250992222403E-2</v>
      </c>
    </row>
    <row r="253" spans="10:22">
      <c r="J253" s="20">
        <v>2.0699999999999998</v>
      </c>
      <c r="K253" s="21">
        <f t="shared" si="6"/>
        <v>7.2813834628579432E-2</v>
      </c>
      <c r="U253" s="20">
        <v>2.0699999999999998</v>
      </c>
      <c r="V253" s="21">
        <f t="shared" si="7"/>
        <v>3.615453991652838E-2</v>
      </c>
    </row>
    <row r="254" spans="10:22">
      <c r="J254" s="20">
        <v>2.08</v>
      </c>
      <c r="K254" s="21">
        <f t="shared" si="6"/>
        <v>7.2115384615384609E-2</v>
      </c>
      <c r="U254" s="20">
        <v>2.08</v>
      </c>
      <c r="V254" s="21">
        <f t="shared" si="7"/>
        <v>3.5946056441951993E-2</v>
      </c>
    </row>
    <row r="255" spans="10:22">
      <c r="J255" s="20">
        <v>2.09</v>
      </c>
      <c r="K255" s="21">
        <f t="shared" si="6"/>
        <v>7.1426936196515661E-2</v>
      </c>
      <c r="U255" s="20">
        <v>2.09</v>
      </c>
      <c r="V255" s="21">
        <f t="shared" si="7"/>
        <v>3.5739766478048156E-2</v>
      </c>
    </row>
    <row r="256" spans="10:22">
      <c r="J256" s="20">
        <v>2.1</v>
      </c>
      <c r="K256" s="21">
        <f t="shared" si="6"/>
        <v>7.0748299319727884E-2</v>
      </c>
      <c r="U256" s="20">
        <v>2.1</v>
      </c>
      <c r="V256" s="21">
        <f t="shared" si="7"/>
        <v>3.5535636615854724E-2</v>
      </c>
    </row>
    <row r="257" spans="10:22">
      <c r="J257" s="20">
        <v>2.11</v>
      </c>
      <c r="K257" s="21">
        <f t="shared" si="6"/>
        <v>7.0079288425686767E-2</v>
      </c>
      <c r="U257" s="20">
        <v>2.11</v>
      </c>
      <c r="V257" s="21">
        <f t="shared" si="7"/>
        <v>3.5333634111105842E-2</v>
      </c>
    </row>
    <row r="258" spans="10:22">
      <c r="J258" s="20">
        <v>2.12</v>
      </c>
      <c r="K258" s="21">
        <f t="shared" si="6"/>
        <v>6.9419722321110711E-2</v>
      </c>
      <c r="U258" s="20">
        <v>2.12</v>
      </c>
      <c r="V258" s="21">
        <f t="shared" si="7"/>
        <v>3.5133726867935609E-2</v>
      </c>
    </row>
    <row r="259" spans="10:22">
      <c r="J259" s="20">
        <v>2.13</v>
      </c>
      <c r="K259" s="21">
        <f t="shared" si="6"/>
        <v>6.8769424056073544E-2</v>
      </c>
      <c r="U259" s="20">
        <v>2.13</v>
      </c>
      <c r="V259" s="21">
        <f t="shared" si="7"/>
        <v>3.493588342305623E-2</v>
      </c>
    </row>
    <row r="260" spans="10:22">
      <c r="J260" s="20">
        <v>2.14</v>
      </c>
      <c r="K260" s="21">
        <f t="shared" si="6"/>
        <v>6.8128220805310516E-2</v>
      </c>
      <c r="U260" s="20">
        <v>2.14</v>
      </c>
      <c r="V260" s="21">
        <f t="shared" si="7"/>
        <v>3.4740072930394016E-2</v>
      </c>
    </row>
    <row r="261" spans="10:22">
      <c r="J261" s="20">
        <v>2.15</v>
      </c>
      <c r="K261" s="21">
        <f t="shared" si="6"/>
        <v>6.7495943753380208E-2</v>
      </c>
      <c r="U261" s="20">
        <v>2.15</v>
      </c>
      <c r="V261" s="21">
        <f t="shared" si="7"/>
        <v>3.4546265146168514E-2</v>
      </c>
    </row>
    <row r="262" spans="10:22">
      <c r="J262" s="20">
        <v>2.16</v>
      </c>
      <c r="K262" s="21">
        <f t="shared" si="6"/>
        <v>6.6872427983539096E-2</v>
      </c>
      <c r="U262" s="20">
        <v>2.16</v>
      </c>
      <c r="V262" s="21">
        <f t="shared" si="7"/>
        <v>3.435443041439952E-2</v>
      </c>
    </row>
    <row r="263" spans="10:22">
      <c r="J263" s="20">
        <v>2.17</v>
      </c>
      <c r="K263" s="21">
        <f t="shared" si="6"/>
        <v>6.6257512370192617E-2</v>
      </c>
      <c r="U263" s="20">
        <v>2.17</v>
      </c>
      <c r="V263" s="21">
        <f t="shared" si="7"/>
        <v>3.4164539652828119E-2</v>
      </c>
    </row>
    <row r="264" spans="10:22">
      <c r="J264" s="20">
        <v>2.1800000000000002</v>
      </c>
      <c r="K264" s="21">
        <f t="shared" si="6"/>
        <v>6.5651039474791673E-2</v>
      </c>
      <c r="U264" s="20">
        <v>2.1800000000000002</v>
      </c>
      <c r="V264" s="21">
        <f t="shared" si="7"/>
        <v>3.3976564339237833E-2</v>
      </c>
    </row>
    <row r="265" spans="10:22">
      <c r="J265" s="20">
        <v>2.19</v>
      </c>
      <c r="K265" s="21">
        <f t="shared" si="6"/>
        <v>6.5052855445049101E-2</v>
      </c>
      <c r="U265" s="20">
        <v>2.19</v>
      </c>
      <c r="V265" s="21">
        <f t="shared" si="7"/>
        <v>3.3790476498162976E-2</v>
      </c>
    </row>
    <row r="266" spans="10:22">
      <c r="J266" s="20">
        <v>2.2000000000000002</v>
      </c>
      <c r="K266" s="21">
        <f t="shared" si="6"/>
        <v>6.4462809917355368E-2</v>
      </c>
      <c r="U266" s="20">
        <v>2.2000000000000002</v>
      </c>
      <c r="V266" s="21">
        <f t="shared" si="7"/>
        <v>3.3606248687971275E-2</v>
      </c>
    </row>
    <row r="267" spans="10:22">
      <c r="J267" s="20">
        <v>2.21</v>
      </c>
      <c r="K267" s="21">
        <f t="shared" si="6"/>
        <v>6.3880755922278418E-2</v>
      </c>
      <c r="U267" s="20">
        <v>2.21</v>
      </c>
      <c r="V267" s="21">
        <f t="shared" si="7"/>
        <v>3.3423853988308896E-2</v>
      </c>
    </row>
    <row r="268" spans="10:22">
      <c r="J268" s="20">
        <v>2.2200000000000002</v>
      </c>
      <c r="K268" s="21">
        <f t="shared" si="6"/>
        <v>6.3306549793036265E-2</v>
      </c>
      <c r="U268" s="20">
        <v>2.2200000000000002</v>
      </c>
      <c r="V268" s="21">
        <f t="shared" si="7"/>
        <v>3.3243265987895697E-2</v>
      </c>
    </row>
    <row r="269" spans="10:22">
      <c r="J269" s="20">
        <v>2.23</v>
      </c>
      <c r="K269" s="21">
        <f t="shared" si="6"/>
        <v>6.2740051076836459E-2</v>
      </c>
      <c r="U269" s="20">
        <v>2.23</v>
      </c>
      <c r="V269" s="21">
        <f t="shared" si="7"/>
        <v>3.3064458772659976E-2</v>
      </c>
    </row>
    <row r="270" spans="10:22">
      <c r="J270" s="20">
        <v>2.2400000000000002</v>
      </c>
      <c r="K270" s="21">
        <f t="shared" si="6"/>
        <v>6.2181122448979588E-2</v>
      </c>
      <c r="U270" s="20">
        <v>2.2400000000000002</v>
      </c>
      <c r="V270" s="21">
        <f t="shared" si="7"/>
        <v>3.2887406914201119E-2</v>
      </c>
    </row>
    <row r="271" spans="10:22">
      <c r="J271" s="20">
        <v>2.25</v>
      </c>
      <c r="K271" s="21">
        <f t="shared" si="6"/>
        <v>6.1629629629629624E-2</v>
      </c>
      <c r="U271" s="20">
        <v>2.25</v>
      </c>
      <c r="V271" s="21">
        <f t="shared" si="7"/>
        <v>3.2712085458570371E-2</v>
      </c>
    </row>
    <row r="272" spans="10:22">
      <c r="J272" s="20">
        <v>2.2599999999999998</v>
      </c>
      <c r="K272" s="21">
        <f t="shared" si="6"/>
        <v>6.1085441303156095E-2</v>
      </c>
      <c r="U272" s="20">
        <v>2.2599999999999998</v>
      </c>
      <c r="V272" s="21">
        <f t="shared" si="7"/>
        <v>3.2538469915359004E-2</v>
      </c>
    </row>
    <row r="273" spans="10:22">
      <c r="J273" s="20">
        <v>2.27</v>
      </c>
      <c r="K273" s="21">
        <f t="shared" si="6"/>
        <v>6.0548429039958086E-2</v>
      </c>
      <c r="U273" s="20">
        <v>2.27</v>
      </c>
      <c r="V273" s="21">
        <f t="shared" si="7"/>
        <v>3.2366536247084486E-2</v>
      </c>
    </row>
    <row r="274" spans="10:22">
      <c r="J274" s="20">
        <v>2.2799999999999998</v>
      </c>
      <c r="K274" s="21">
        <f t="shared" si="6"/>
        <v>6.001846722068329E-2</v>
      </c>
      <c r="U274" s="20">
        <v>2.2799999999999998</v>
      </c>
      <c r="V274" s="21">
        <f t="shared" si="7"/>
        <v>3.2196260858865178E-2</v>
      </c>
    </row>
    <row r="275" spans="10:22">
      <c r="J275" s="20">
        <v>2.29</v>
      </c>
      <c r="K275" s="21">
        <f t="shared" si="6"/>
        <v>5.9495432962758145E-2</v>
      </c>
      <c r="U275" s="20">
        <v>2.29</v>
      </c>
      <c r="V275" s="21">
        <f t="shared" si="7"/>
        <v>3.2027620588374342E-2</v>
      </c>
    </row>
    <row r="276" spans="10:22">
      <c r="J276" s="20">
        <v>2.2999999999999998</v>
      </c>
      <c r="K276" s="21">
        <f t="shared" si="6"/>
        <v>5.8979206049149351E-2</v>
      </c>
      <c r="U276" s="20">
        <v>2.2999999999999998</v>
      </c>
      <c r="V276" s="21">
        <f t="shared" si="7"/>
        <v>3.1860592696064997E-2</v>
      </c>
    </row>
    <row r="277" spans="10:22">
      <c r="J277" s="20">
        <v>2.31</v>
      </c>
      <c r="K277" s="21">
        <f t="shared" si="6"/>
        <v>5.8469668859279247E-2</v>
      </c>
      <c r="U277" s="20">
        <v>2.31</v>
      </c>
      <c r="V277" s="21">
        <f t="shared" si="7"/>
        <v>3.1695154855656868E-2</v>
      </c>
    </row>
    <row r="278" spans="10:22">
      <c r="J278" s="20">
        <v>2.3199999999999998</v>
      </c>
      <c r="K278" s="21">
        <f t="shared" si="6"/>
        <v>5.7966706302021408E-2</v>
      </c>
      <c r="U278" s="20">
        <v>2.3199999999999998</v>
      </c>
      <c r="V278" s="21">
        <f t="shared" si="7"/>
        <v>3.1531285144877533E-2</v>
      </c>
    </row>
    <row r="279" spans="10:22">
      <c r="J279" s="20">
        <v>2.33</v>
      </c>
      <c r="K279" s="21">
        <f t="shared" si="6"/>
        <v>5.7470205750704557E-2</v>
      </c>
      <c r="U279" s="20">
        <v>2.33</v>
      </c>
      <c r="V279" s="21">
        <f t="shared" si="7"/>
        <v>3.1368962036449864E-2</v>
      </c>
    </row>
    <row r="280" spans="10:22">
      <c r="J280" s="20">
        <v>2.34</v>
      </c>
      <c r="K280" s="21">
        <f t="shared" si="6"/>
        <v>5.6980056980056988E-2</v>
      </c>
      <c r="U280" s="20">
        <v>2.34</v>
      </c>
      <c r="V280" s="21">
        <f t="shared" si="7"/>
        <v>3.1208164389318078E-2</v>
      </c>
    </row>
    <row r="281" spans="10:22">
      <c r="J281" s="20">
        <v>2.35</v>
      </c>
      <c r="K281" s="21">
        <f t="shared" si="6"/>
        <v>5.6496152105024892E-2</v>
      </c>
      <c r="U281" s="20">
        <v>2.35</v>
      </c>
      <c r="V281" s="21">
        <f t="shared" si="7"/>
        <v>3.1048871440105184E-2</v>
      </c>
    </row>
    <row r="282" spans="10:22">
      <c r="J282" s="20">
        <v>2.36</v>
      </c>
      <c r="K282" s="21">
        <f t="shared" si="6"/>
        <v>5.6018385521401898E-2</v>
      </c>
      <c r="U282" s="20">
        <v>2.36</v>
      </c>
      <c r="V282" s="21">
        <f t="shared" si="7"/>
        <v>3.0891062794794904E-2</v>
      </c>
    </row>
    <row r="283" spans="10:22">
      <c r="J283" s="20">
        <v>2.37</v>
      </c>
      <c r="K283" s="21">
        <f t="shared" si="6"/>
        <v>5.5546653848208082E-2</v>
      </c>
      <c r="U283" s="20">
        <v>2.37</v>
      </c>
      <c r="V283" s="21">
        <f t="shared" si="7"/>
        <v>3.0734718420630837E-2</v>
      </c>
    </row>
    <row r="284" spans="10:22">
      <c r="J284" s="20">
        <v>2.38</v>
      </c>
      <c r="K284" s="21">
        <f t="shared" si="6"/>
        <v>5.5080855871760474E-2</v>
      </c>
      <c r="U284" s="20">
        <v>2.38</v>
      </c>
      <c r="V284" s="21">
        <f t="shared" si="7"/>
        <v>3.0579818638226869E-2</v>
      </c>
    </row>
    <row r="285" spans="10:22">
      <c r="J285" s="20">
        <v>2.39</v>
      </c>
      <c r="K285" s="21">
        <f t="shared" si="6"/>
        <v>5.4620892491377949E-2</v>
      </c>
      <c r="U285" s="20">
        <v>2.39</v>
      </c>
      <c r="V285" s="21">
        <f t="shared" si="7"/>
        <v>3.0426344113881863E-2</v>
      </c>
    </row>
    <row r="286" spans="10:22">
      <c r="J286" s="20">
        <v>2.4</v>
      </c>
      <c r="K286" s="21">
        <f t="shared" si="6"/>
        <v>5.4166666666666669E-2</v>
      </c>
      <c r="U286" s="20">
        <v>2.4</v>
      </c>
      <c r="V286" s="21">
        <f t="shared" si="7"/>
        <v>3.027427585209308E-2</v>
      </c>
    </row>
    <row r="287" spans="10:22">
      <c r="J287" s="20">
        <v>2.41</v>
      </c>
      <c r="K287" s="21">
        <f t="shared" si="6"/>
        <v>5.3718083366333221E-2</v>
      </c>
      <c r="U287" s="20">
        <v>2.41</v>
      </c>
      <c r="V287" s="21">
        <f t="shared" si="7"/>
        <v>3.0123595188261892E-2</v>
      </c>
    </row>
    <row r="288" spans="10:22">
      <c r="J288" s="20">
        <v>2.42</v>
      </c>
      <c r="K288" s="21">
        <f t="shared" si="6"/>
        <v>5.327504951847551E-2</v>
      </c>
      <c r="U288" s="20">
        <v>2.42</v>
      </c>
      <c r="V288" s="21">
        <f t="shared" si="7"/>
        <v>2.997428378158648E-2</v>
      </c>
    </row>
    <row r="289" spans="10:22">
      <c r="J289" s="20">
        <v>2.4300000000000002</v>
      </c>
      <c r="K289" s="21">
        <f t="shared" si="6"/>
        <v>5.2837473962302491E-2</v>
      </c>
      <c r="U289" s="20">
        <v>2.4300000000000002</v>
      </c>
      <c r="V289" s="21">
        <f t="shared" si="7"/>
        <v>2.982632360813562E-2</v>
      </c>
    </row>
    <row r="290" spans="10:22">
      <c r="J290" s="20">
        <v>2.44</v>
      </c>
      <c r="K290" s="21">
        <f t="shared" si="6"/>
        <v>5.240526740123623E-2</v>
      </c>
      <c r="U290" s="20">
        <v>2.44</v>
      </c>
      <c r="V290" s="21">
        <f t="shared" si="7"/>
        <v>2.9679696954098583E-2</v>
      </c>
    </row>
    <row r="291" spans="10:22">
      <c r="J291" s="20">
        <v>2.4500000000000002</v>
      </c>
      <c r="K291" s="21">
        <f t="shared" si="6"/>
        <v>5.197834235735109E-2</v>
      </c>
      <c r="U291" s="20">
        <v>2.4500000000000002</v>
      </c>
      <c r="V291" s="21">
        <f t="shared" si="7"/>
        <v>2.9534386409205582E-2</v>
      </c>
    </row>
    <row r="292" spans="10:22">
      <c r="J292" s="20">
        <v>2.46</v>
      </c>
      <c r="K292" s="21">
        <f t="shared" si="6"/>
        <v>5.1556613127106882E-2</v>
      </c>
      <c r="U292" s="20">
        <v>2.46</v>
      </c>
      <c r="V292" s="21">
        <f t="shared" si="7"/>
        <v>2.9390374860314167E-2</v>
      </c>
    </row>
    <row r="293" spans="10:22">
      <c r="J293" s="20">
        <v>2.4700000000000002</v>
      </c>
      <c r="K293" s="21">
        <f t="shared" si="6"/>
        <v>5.113999573833368E-2</v>
      </c>
      <c r="U293" s="20">
        <v>2.4700000000000002</v>
      </c>
      <c r="V293" s="21">
        <f t="shared" si="7"/>
        <v>2.9247645485156376E-2</v>
      </c>
    </row>
    <row r="294" spans="10:22">
      <c r="J294" s="20">
        <v>2.48</v>
      </c>
      <c r="K294" s="21">
        <f t="shared" si="6"/>
        <v>5.0728407908428717E-2</v>
      </c>
      <c r="U294" s="20">
        <v>2.48</v>
      </c>
      <c r="V294" s="21">
        <f t="shared" si="7"/>
        <v>2.9106181746242309E-2</v>
      </c>
    </row>
    <row r="295" spans="10:22">
      <c r="J295" s="20">
        <v>2.4900000000000002</v>
      </c>
      <c r="K295" s="21">
        <f t="shared" si="6"/>
        <v>5.0321769003725737E-2</v>
      </c>
      <c r="U295" s="20">
        <v>2.4900000000000002</v>
      </c>
      <c r="V295" s="21">
        <f t="shared" si="7"/>
        <v>2.8965967384915248E-2</v>
      </c>
    </row>
    <row r="296" spans="10:22">
      <c r="J296" s="20">
        <v>2.5</v>
      </c>
      <c r="K296" s="21">
        <f t="shared" si="6"/>
        <v>4.9920000000000006E-2</v>
      </c>
      <c r="U296" s="20">
        <v>2.5</v>
      </c>
      <c r="V296" s="21">
        <f t="shared" si="7"/>
        <v>2.882698641555435E-2</v>
      </c>
    </row>
    <row r="297" spans="10:22">
      <c r="J297" s="20">
        <v>2.5099999999999998</v>
      </c>
      <c r="K297" s="21">
        <f t="shared" si="6"/>
        <v>4.9523023444072327E-2</v>
      </c>
      <c r="U297" s="20">
        <v>2.5099999999999998</v>
      </c>
      <c r="V297" s="21">
        <f t="shared" si="7"/>
        <v>2.8689223119920355E-2</v>
      </c>
    </row>
    <row r="298" spans="10:22">
      <c r="J298" s="20">
        <v>2.52</v>
      </c>
      <c r="K298" s="21">
        <f t="shared" si="6"/>
        <v>4.91307634164777E-2</v>
      </c>
      <c r="U298" s="20">
        <v>2.52</v>
      </c>
      <c r="V298" s="21">
        <f t="shared" si="7"/>
        <v>2.8552662041640336E-2</v>
      </c>
    </row>
    <row r="299" spans="10:22">
      <c r="J299" s="20">
        <v>2.5299999999999998</v>
      </c>
      <c r="K299" s="21">
        <f t="shared" si="6"/>
        <v>4.8743145495164744E-2</v>
      </c>
      <c r="U299" s="20">
        <v>2.5299999999999998</v>
      </c>
      <c r="V299" s="21">
        <f t="shared" si="7"/>
        <v>2.8417287980827721E-2</v>
      </c>
    </row>
    <row r="300" spans="10:22">
      <c r="J300" s="20">
        <v>2.54</v>
      </c>
      <c r="K300" s="21">
        <f t="shared" si="6"/>
        <v>4.8360096720193438E-2</v>
      </c>
      <c r="U300" s="20">
        <v>2.54</v>
      </c>
      <c r="V300" s="21">
        <f t="shared" si="7"/>
        <v>2.828308598883331E-2</v>
      </c>
    </row>
    <row r="301" spans="10:22">
      <c r="J301" s="20">
        <v>2.5499999999999998</v>
      </c>
      <c r="K301" s="21">
        <f t="shared" si="6"/>
        <v>4.7981545559400235E-2</v>
      </c>
      <c r="U301" s="20">
        <v>2.5499999999999998</v>
      </c>
      <c r="V301" s="21">
        <f t="shared" si="7"/>
        <v>2.8150041363124174E-2</v>
      </c>
    </row>
    <row r="302" spans="10:22">
      <c r="J302" s="20">
        <v>2.56</v>
      </c>
      <c r="K302" s="21">
        <f t="shared" si="6"/>
        <v>4.7607421874999993E-2</v>
      </c>
      <c r="U302" s="20">
        <v>2.56</v>
      </c>
      <c r="V302" s="21">
        <f t="shared" si="7"/>
        <v>2.8018139642286246E-2</v>
      </c>
    </row>
    <row r="303" spans="10:22">
      <c r="J303" s="20">
        <v>2.57</v>
      </c>
      <c r="K303" s="21">
        <f t="shared" ref="K303:K366" si="8">IF(J303&lt;$G$44,$B$44*$C$44*$D$44*(2/3+(J303/$G$44)*(2.5*$E$44/$F$44-2/3)),IF(J303&lt;$H$44,$B$44*$C$44*$D$44*(2.5*$E$44/$F$44),IF(J303&lt;$I$44,$B$44*$C$44*$D$44*(2.5*$E$44/$F$44)*($H$44/J303),$B$44*$C$44*$D$44*(2.5*$E$44/$F$44)*($H$44*$I$44/J303^2))))</f>
        <v>4.7237656891096012E-2</v>
      </c>
      <c r="U303" s="20">
        <v>2.57</v>
      </c>
      <c r="V303" s="21">
        <f t="shared" ref="V303:V366" si="9">IF(U303&lt;$Q$44,$N$44*$O$44*(2/3+(U303/$Q$44)*(2.5/$P$44-2/3)),IF(U303&lt;$R$44,$N$44*$O$44*(2.5/$P$44),IF(U303&lt;$S$44,$N$44*$O$44*(2.5/$P$44)*(($R$44/U303)^$T$44),$N$44*$O$44*(2.5/$P$44)*($R$44*$S$44/U303^2)^$T$44)))</f>
        <v>2.788736660114767E-2</v>
      </c>
    </row>
    <row r="304" spans="10:22">
      <c r="J304" s="20">
        <v>2.58</v>
      </c>
      <c r="K304" s="21">
        <f t="shared" si="8"/>
        <v>4.6872183162069578E-2</v>
      </c>
      <c r="U304" s="20">
        <v>2.58</v>
      </c>
      <c r="V304" s="21">
        <f t="shared" si="9"/>
        <v>2.7757708246019083E-2</v>
      </c>
    </row>
    <row r="305" spans="10:22">
      <c r="J305" s="20">
        <v>2.59</v>
      </c>
      <c r="K305" s="21">
        <f t="shared" si="8"/>
        <v>4.6510934541822577E-2</v>
      </c>
      <c r="U305" s="20">
        <v>2.59</v>
      </c>
      <c r="V305" s="21">
        <f t="shared" si="9"/>
        <v>2.7629150810047978E-2</v>
      </c>
    </row>
    <row r="306" spans="10:22">
      <c r="J306" s="20">
        <v>2.6</v>
      </c>
      <c r="K306" s="21">
        <f t="shared" si="8"/>
        <v>4.6153846153846143E-2</v>
      </c>
      <c r="U306" s="20">
        <v>2.6</v>
      </c>
      <c r="V306" s="21">
        <f t="shared" si="9"/>
        <v>2.7501680748683636E-2</v>
      </c>
    </row>
    <row r="307" spans="10:22">
      <c r="J307" s="20">
        <v>2.61</v>
      </c>
      <c r="K307" s="21">
        <f t="shared" si="8"/>
        <v>4.5800854362090991E-2</v>
      </c>
      <c r="U307" s="20">
        <v>2.61</v>
      </c>
      <c r="V307" s="21">
        <f t="shared" si="9"/>
        <v>2.7375284735249937E-2</v>
      </c>
    </row>
    <row r="308" spans="10:22">
      <c r="J308" s="20">
        <v>2.62</v>
      </c>
      <c r="K308" s="21">
        <f t="shared" si="8"/>
        <v>4.5451896742614066E-2</v>
      </c>
      <c r="U308" s="20">
        <v>2.62</v>
      </c>
      <c r="V308" s="21">
        <f t="shared" si="9"/>
        <v>2.7249949656622616E-2</v>
      </c>
    </row>
    <row r="309" spans="10:22">
      <c r="J309" s="20">
        <v>2.63</v>
      </c>
      <c r="K309" s="21">
        <f t="shared" si="8"/>
        <v>4.5106912055978839E-2</v>
      </c>
      <c r="U309" s="20">
        <v>2.63</v>
      </c>
      <c r="V309" s="21">
        <f t="shared" si="9"/>
        <v>2.7125662609008762E-2</v>
      </c>
    </row>
    <row r="310" spans="10:22">
      <c r="J310" s="20">
        <v>2.64</v>
      </c>
      <c r="K310" s="21">
        <f t="shared" si="8"/>
        <v>4.4765840220385669E-2</v>
      </c>
      <c r="U310" s="20">
        <v>2.64</v>
      </c>
      <c r="V310" s="21">
        <f t="shared" si="9"/>
        <v>2.7002410893825025E-2</v>
      </c>
    </row>
    <row r="311" spans="10:22">
      <c r="J311" s="20">
        <v>2.65</v>
      </c>
      <c r="K311" s="21">
        <f t="shared" si="8"/>
        <v>4.4428622285510852E-2</v>
      </c>
      <c r="U311" s="20">
        <v>2.65</v>
      </c>
      <c r="V311" s="21">
        <f t="shared" si="9"/>
        <v>2.6880182013672489E-2</v>
      </c>
    </row>
    <row r="312" spans="10:22">
      <c r="J312" s="20">
        <v>2.66</v>
      </c>
      <c r="K312" s="21">
        <f t="shared" si="8"/>
        <v>4.4095200407032617E-2</v>
      </c>
      <c r="U312" s="20">
        <v>2.66</v>
      </c>
      <c r="V312" s="21">
        <f t="shared" si="9"/>
        <v>2.6758963668405168E-2</v>
      </c>
    </row>
    <row r="313" spans="10:22">
      <c r="J313" s="20">
        <v>2.67</v>
      </c>
      <c r="K313" s="21">
        <f t="shared" si="8"/>
        <v>4.3765517821823849E-2</v>
      </c>
      <c r="U313" s="20">
        <v>2.67</v>
      </c>
      <c r="V313" s="21">
        <f t="shared" si="9"/>
        <v>2.6638743751289863E-2</v>
      </c>
    </row>
    <row r="314" spans="10:22">
      <c r="J314" s="20">
        <v>2.68</v>
      </c>
      <c r="K314" s="21">
        <f t="shared" si="8"/>
        <v>4.3439518823791483E-2</v>
      </c>
      <c r="U314" s="20">
        <v>2.68</v>
      </c>
      <c r="V314" s="21">
        <f t="shared" si="9"/>
        <v>2.6519510345254727E-2</v>
      </c>
    </row>
    <row r="315" spans="10:22">
      <c r="J315" s="20">
        <v>2.69</v>
      </c>
      <c r="K315" s="21">
        <f t="shared" si="8"/>
        <v>4.3117148740343558E-2</v>
      </c>
      <c r="U315" s="20">
        <v>2.69</v>
      </c>
      <c r="V315" s="21">
        <f t="shared" si="9"/>
        <v>2.6401251719224399E-2</v>
      </c>
    </row>
    <row r="316" spans="10:22">
      <c r="J316" s="20">
        <v>2.7</v>
      </c>
      <c r="K316" s="21">
        <f t="shared" si="8"/>
        <v>4.2798353909465014E-2</v>
      </c>
      <c r="U316" s="20">
        <v>2.7</v>
      </c>
      <c r="V316" s="21">
        <f t="shared" si="9"/>
        <v>2.6283956324539077E-2</v>
      </c>
    </row>
    <row r="317" spans="10:22">
      <c r="J317" s="20">
        <v>2.71</v>
      </c>
      <c r="K317" s="21">
        <f t="shared" si="8"/>
        <v>4.2483081657384833E-2</v>
      </c>
      <c r="U317" s="20">
        <v>2.71</v>
      </c>
      <c r="V317" s="21">
        <f t="shared" si="9"/>
        <v>2.6167612791455706E-2</v>
      </c>
    </row>
    <row r="318" spans="10:22">
      <c r="J318" s="20">
        <v>2.72</v>
      </c>
      <c r="K318" s="21">
        <f t="shared" si="8"/>
        <v>4.2171280276816603E-2</v>
      </c>
      <c r="U318" s="20">
        <v>2.72</v>
      </c>
      <c r="V318" s="21">
        <f t="shared" si="9"/>
        <v>2.605220992572866E-2</v>
      </c>
    </row>
    <row r="319" spans="10:22">
      <c r="J319" s="20">
        <v>2.73</v>
      </c>
      <c r="K319" s="21">
        <f t="shared" si="8"/>
        <v>4.1862899005756148E-2</v>
      </c>
      <c r="U319" s="20">
        <v>2.73</v>
      </c>
      <c r="V319" s="21">
        <f t="shared" si="9"/>
        <v>2.5937736705268239E-2</v>
      </c>
    </row>
    <row r="320" spans="10:22">
      <c r="J320" s="20">
        <v>2.74</v>
      </c>
      <c r="K320" s="21">
        <f t="shared" si="8"/>
        <v>4.1557888006819754E-2</v>
      </c>
      <c r="U320" s="20">
        <v>2.74</v>
      </c>
      <c r="V320" s="21">
        <f t="shared" si="9"/>
        <v>2.5824182276874642E-2</v>
      </c>
    </row>
    <row r="321" spans="10:22">
      <c r="J321" s="20">
        <v>2.75</v>
      </c>
      <c r="K321" s="21">
        <f t="shared" si="8"/>
        <v>4.1256198347107434E-2</v>
      </c>
      <c r="U321" s="20">
        <v>2.75</v>
      </c>
      <c r="V321" s="21">
        <f t="shared" si="9"/>
        <v>2.5711535953045591E-2</v>
      </c>
    </row>
    <row r="322" spans="10:22">
      <c r="J322" s="20">
        <v>2.76</v>
      </c>
      <c r="K322" s="21">
        <f t="shared" si="8"/>
        <v>4.0957781978575934E-2</v>
      </c>
      <c r="U322" s="20">
        <v>2.76</v>
      </c>
      <c r="V322" s="21">
        <f t="shared" si="9"/>
        <v>2.5599787208855605E-2</v>
      </c>
    </row>
    <row r="323" spans="10:22">
      <c r="J323" s="20">
        <v>2.77</v>
      </c>
      <c r="K323" s="21">
        <f t="shared" si="8"/>
        <v>4.06625917189068E-2</v>
      </c>
      <c r="U323" s="20">
        <v>2.77</v>
      </c>
      <c r="V323" s="21">
        <f t="shared" si="9"/>
        <v>2.5488925678905146E-2</v>
      </c>
    </row>
    <row r="324" spans="10:22">
      <c r="J324" s="20">
        <v>2.78</v>
      </c>
      <c r="K324" s="21">
        <f t="shared" si="8"/>
        <v>4.0370581232855453E-2</v>
      </c>
      <c r="U324" s="20">
        <v>2.78</v>
      </c>
      <c r="V324" s="21">
        <f t="shared" si="9"/>
        <v>2.537894115433777E-2</v>
      </c>
    </row>
    <row r="325" spans="10:22">
      <c r="J325" s="20">
        <v>2.79</v>
      </c>
      <c r="K325" s="21">
        <f t="shared" si="8"/>
        <v>4.0081705014067132E-2</v>
      </c>
      <c r="U325" s="20">
        <v>2.79</v>
      </c>
      <c r="V325" s="21">
        <f t="shared" si="9"/>
        <v>2.5269823579923471E-2</v>
      </c>
    </row>
    <row r="326" spans="10:22">
      <c r="J326" s="20">
        <v>2.8</v>
      </c>
      <c r="K326" s="21">
        <f t="shared" si="8"/>
        <v>3.9795918367346944E-2</v>
      </c>
      <c r="U326" s="20">
        <v>2.8</v>
      </c>
      <c r="V326" s="21">
        <f t="shared" si="9"/>
        <v>2.5161563051206717E-2</v>
      </c>
    </row>
    <row r="327" spans="10:22">
      <c r="J327" s="20">
        <v>2.81</v>
      </c>
      <c r="K327" s="21">
        <f t="shared" si="8"/>
        <v>3.9513177391370419E-2</v>
      </c>
      <c r="U327" s="20">
        <v>2.81</v>
      </c>
      <c r="V327" s="21">
        <f t="shared" si="9"/>
        <v>2.5054149811717222E-2</v>
      </c>
    </row>
    <row r="328" spans="10:22">
      <c r="J328" s="20">
        <v>2.82</v>
      </c>
      <c r="K328" s="21">
        <f t="shared" si="8"/>
        <v>3.9233438961822853E-2</v>
      </c>
      <c r="U328" s="20">
        <v>2.82</v>
      </c>
      <c r="V328" s="21">
        <f t="shared" si="9"/>
        <v>2.494757425024223E-2</v>
      </c>
    </row>
    <row r="329" spans="10:22">
      <c r="J329" s="20">
        <v>2.83</v>
      </c>
      <c r="K329" s="21">
        <f t="shared" si="8"/>
        <v>3.8956660714954607E-2</v>
      </c>
      <c r="U329" s="20">
        <v>2.83</v>
      </c>
      <c r="V329" s="21">
        <f t="shared" si="9"/>
        <v>2.4841826898158281E-2</v>
      </c>
    </row>
    <row r="330" spans="10:22">
      <c r="J330" s="20">
        <v>2.84</v>
      </c>
      <c r="K330" s="21">
        <f t="shared" si="8"/>
        <v>3.8682801031541363E-2</v>
      </c>
      <c r="U330" s="20">
        <v>2.84</v>
      </c>
      <c r="V330" s="21">
        <f t="shared" si="9"/>
        <v>2.4736898426821478E-2</v>
      </c>
    </row>
    <row r="331" spans="10:22">
      <c r="J331" s="20">
        <v>2.85</v>
      </c>
      <c r="K331" s="21">
        <f t="shared" si="8"/>
        <v>3.8411819021237296E-2</v>
      </c>
      <c r="U331" s="20">
        <v>2.85</v>
      </c>
      <c r="V331" s="21">
        <f t="shared" si="9"/>
        <v>2.4632779645014258E-2</v>
      </c>
    </row>
    <row r="332" spans="10:22">
      <c r="J332" s="20">
        <v>2.86</v>
      </c>
      <c r="K332" s="21">
        <f t="shared" si="8"/>
        <v>3.8143674507310876E-2</v>
      </c>
      <c r="U332" s="20">
        <v>2.86</v>
      </c>
      <c r="V332" s="21">
        <f t="shared" si="9"/>
        <v>2.4529461496447691E-2</v>
      </c>
    </row>
    <row r="333" spans="10:22">
      <c r="J333" s="20">
        <v>2.87</v>
      </c>
      <c r="K333" s="21">
        <f t="shared" si="8"/>
        <v>3.7878328011751991E-2</v>
      </c>
      <c r="U333" s="20">
        <v>2.87</v>
      </c>
      <c r="V333" s="21">
        <f t="shared" si="9"/>
        <v>2.4426935057317575E-2</v>
      </c>
    </row>
    <row r="334" spans="10:22">
      <c r="J334" s="20">
        <v>2.88</v>
      </c>
      <c r="K334" s="21">
        <f t="shared" si="8"/>
        <v>3.7615740740740741E-2</v>
      </c>
      <c r="U334" s="20">
        <v>2.88</v>
      </c>
      <c r="V334" s="21">
        <f t="shared" si="9"/>
        <v>2.4325191533913246E-2</v>
      </c>
    </row>
    <row r="335" spans="10:22">
      <c r="J335" s="20">
        <v>2.89</v>
      </c>
      <c r="K335" s="21">
        <f t="shared" si="8"/>
        <v>3.7355874570467303E-2</v>
      </c>
      <c r="U335" s="20">
        <v>2.89</v>
      </c>
      <c r="V335" s="21">
        <f t="shared" si="9"/>
        <v>2.4224222260277539E-2</v>
      </c>
    </row>
    <row r="336" spans="10:22">
      <c r="J336" s="20">
        <v>2.9</v>
      </c>
      <c r="K336" s="21">
        <f t="shared" si="8"/>
        <v>3.7098692033293697E-2</v>
      </c>
      <c r="U336" s="20">
        <v>2.9</v>
      </c>
      <c r="V336" s="21">
        <f t="shared" si="9"/>
        <v>2.4124018695916877E-2</v>
      </c>
    </row>
    <row r="337" spans="10:22">
      <c r="J337" s="20">
        <v>2.91</v>
      </c>
      <c r="K337" s="21">
        <f t="shared" si="8"/>
        <v>3.6844156304247699E-2</v>
      </c>
      <c r="U337" s="20">
        <v>2.91</v>
      </c>
      <c r="V337" s="21">
        <f t="shared" si="9"/>
        <v>2.4024572423560053E-2</v>
      </c>
    </row>
    <row r="338" spans="10:22">
      <c r="J338" s="20">
        <v>2.92</v>
      </c>
      <c r="K338" s="21">
        <f t="shared" si="8"/>
        <v>3.6592231187840128E-2</v>
      </c>
      <c r="U338" s="20">
        <v>2.92</v>
      </c>
      <c r="V338" s="21">
        <f t="shared" si="9"/>
        <v>2.3925875146964662E-2</v>
      </c>
    </row>
    <row r="339" spans="10:22">
      <c r="J339" s="20">
        <v>2.93</v>
      </c>
      <c r="K339" s="21">
        <f t="shared" si="8"/>
        <v>3.6342881105196324E-2</v>
      </c>
      <c r="U339" s="20">
        <v>2.93</v>
      </c>
      <c r="V339" s="21">
        <f t="shared" si="9"/>
        <v>2.3827918688769822E-2</v>
      </c>
    </row>
    <row r="340" spans="10:22">
      <c r="J340" s="20">
        <v>2.94</v>
      </c>
      <c r="K340" s="21">
        <f t="shared" si="8"/>
        <v>3.6096071081493819E-2</v>
      </c>
      <c r="U340" s="20">
        <v>2.94</v>
      </c>
      <c r="V340" s="21">
        <f t="shared" si="9"/>
        <v>2.3730694988394252E-2</v>
      </c>
    </row>
    <row r="341" spans="10:22">
      <c r="J341" s="20">
        <v>2.95</v>
      </c>
      <c r="K341" s="21">
        <f t="shared" si="8"/>
        <v>3.5851766733697214E-2</v>
      </c>
      <c r="U341" s="20">
        <v>2.95</v>
      </c>
      <c r="V341" s="21">
        <f t="shared" si="9"/>
        <v>2.3634196099978484E-2</v>
      </c>
    </row>
    <row r="342" spans="10:22">
      <c r="J342" s="20">
        <v>2.96</v>
      </c>
      <c r="K342" s="21">
        <f t="shared" si="8"/>
        <v>3.5609934258582908E-2</v>
      </c>
      <c r="U342" s="20">
        <v>2.96</v>
      </c>
      <c r="V342" s="21">
        <f t="shared" si="9"/>
        <v>2.3538414190370189E-2</v>
      </c>
    </row>
    <row r="343" spans="10:22">
      <c r="J343" s="20">
        <v>2.97</v>
      </c>
      <c r="K343" s="21">
        <f t="shared" si="8"/>
        <v>3.5370540421045468E-2</v>
      </c>
      <c r="U343" s="20">
        <v>2.97</v>
      </c>
      <c r="V343" s="21">
        <f t="shared" si="9"/>
        <v>2.3443341537151465E-2</v>
      </c>
    </row>
    <row r="344" spans="10:22">
      <c r="J344" s="20">
        <v>2.98</v>
      </c>
      <c r="K344" s="21">
        <f t="shared" si="8"/>
        <v>3.5133552542678262E-2</v>
      </c>
      <c r="U344" s="20">
        <v>2.98</v>
      </c>
      <c r="V344" s="21">
        <f t="shared" si="9"/>
        <v>2.3348970526707272E-2</v>
      </c>
    </row>
    <row r="345" spans="10:22">
      <c r="J345" s="20">
        <v>2.99</v>
      </c>
      <c r="K345" s="21">
        <f t="shared" si="8"/>
        <v>3.4898938490620902E-2</v>
      </c>
      <c r="U345" s="20">
        <v>2.99</v>
      </c>
      <c r="V345" s="21">
        <f t="shared" si="9"/>
        <v>2.3255293652333774E-2</v>
      </c>
    </row>
    <row r="346" spans="10:22">
      <c r="J346" s="20">
        <v>3</v>
      </c>
      <c r="K346" s="21">
        <f t="shared" si="8"/>
        <v>3.4666666666666665E-2</v>
      </c>
      <c r="U346" s="20">
        <v>3</v>
      </c>
      <c r="V346" s="21">
        <f t="shared" si="9"/>
        <v>2.31623035123859E-2</v>
      </c>
    </row>
    <row r="347" spans="10:22">
      <c r="J347" s="20">
        <v>3.01</v>
      </c>
      <c r="K347" s="21">
        <f t="shared" si="8"/>
        <v>3.443670599662256E-2</v>
      </c>
      <c r="U347" s="20">
        <v>3.01</v>
      </c>
      <c r="V347" s="21">
        <f t="shared" si="9"/>
        <v>2.3069992808462909E-2</v>
      </c>
    </row>
    <row r="348" spans="10:22">
      <c r="J348" s="20">
        <v>3.02</v>
      </c>
      <c r="K348" s="21">
        <f t="shared" si="8"/>
        <v>3.4209025919915793E-2</v>
      </c>
      <c r="U348" s="20">
        <v>3.02</v>
      </c>
      <c r="V348" s="21">
        <f t="shared" si="9"/>
        <v>2.2978354343631345E-2</v>
      </c>
    </row>
    <row r="349" spans="10:22">
      <c r="J349" s="20">
        <v>3.03</v>
      </c>
      <c r="K349" s="21">
        <f t="shared" si="8"/>
        <v>3.3983596379439922E-2</v>
      </c>
      <c r="U349" s="20">
        <v>3.03</v>
      </c>
      <c r="V349" s="21">
        <f t="shared" si="9"/>
        <v>2.2887381020684189E-2</v>
      </c>
    </row>
    <row r="350" spans="10:22">
      <c r="J350" s="20">
        <v>3.04</v>
      </c>
      <c r="K350" s="21">
        <f t="shared" si="8"/>
        <v>3.3760387811634346E-2</v>
      </c>
      <c r="U350" s="20">
        <v>3.04</v>
      </c>
      <c r="V350" s="21">
        <f t="shared" si="9"/>
        <v>2.2797065840435615E-2</v>
      </c>
    </row>
    <row r="351" spans="10:22">
      <c r="J351" s="20">
        <v>3.05</v>
      </c>
      <c r="K351" s="21">
        <f t="shared" si="8"/>
        <v>3.3539371136791188E-2</v>
      </c>
      <c r="U351" s="20">
        <v>3.05</v>
      </c>
      <c r="V351" s="21">
        <f t="shared" si="9"/>
        <v>2.2707401900050345E-2</v>
      </c>
    </row>
    <row r="352" spans="10:22">
      <c r="J352" s="20">
        <v>3.06</v>
      </c>
      <c r="K352" s="21">
        <f t="shared" si="8"/>
        <v>3.3320517749583493E-2</v>
      </c>
      <c r="U352" s="20">
        <v>3.06</v>
      </c>
      <c r="V352" s="21">
        <f t="shared" si="9"/>
        <v>2.2618382391406854E-2</v>
      </c>
    </row>
    <row r="353" spans="10:22">
      <c r="J353" s="20">
        <v>3.07</v>
      </c>
      <c r="K353" s="21">
        <f t="shared" si="8"/>
        <v>3.3103799509809122E-2</v>
      </c>
      <c r="U353" s="20">
        <v>3.07</v>
      </c>
      <c r="V353" s="21">
        <f t="shared" si="9"/>
        <v>2.2530000599493637E-2</v>
      </c>
    </row>
    <row r="354" spans="10:22">
      <c r="J354" s="20">
        <v>3.08</v>
      </c>
      <c r="K354" s="21">
        <f t="shared" si="8"/>
        <v>3.2889188733344579E-2</v>
      </c>
      <c r="U354" s="20">
        <v>3.08</v>
      </c>
      <c r="V354" s="21">
        <f t="shared" si="9"/>
        <v>2.2442249900837711E-2</v>
      </c>
    </row>
    <row r="355" spans="10:22">
      <c r="J355" s="20">
        <v>3.09</v>
      </c>
      <c r="K355" s="21">
        <f t="shared" si="8"/>
        <v>3.2676658183303488E-2</v>
      </c>
      <c r="U355" s="20">
        <v>3.09</v>
      </c>
      <c r="V355" s="21">
        <f t="shared" si="9"/>
        <v>2.2355123761964687E-2</v>
      </c>
    </row>
    <row r="356" spans="10:22">
      <c r="J356" s="20">
        <v>3.1</v>
      </c>
      <c r="K356" s="21">
        <f t="shared" si="8"/>
        <v>3.2466181061394379E-2</v>
      </c>
      <c r="U356" s="20">
        <v>3.1</v>
      </c>
      <c r="V356" s="21">
        <f t="shared" si="9"/>
        <v>2.2268615737889578E-2</v>
      </c>
    </row>
    <row r="357" spans="10:22">
      <c r="J357" s="20">
        <v>3.11</v>
      </c>
      <c r="K357" s="21">
        <f t="shared" si="8"/>
        <v>3.2257730999472718E-2</v>
      </c>
      <c r="U357" s="20">
        <v>3.11</v>
      </c>
      <c r="V357" s="21">
        <f t="shared" si="9"/>
        <v>2.2182719470637737E-2</v>
      </c>
    </row>
    <row r="358" spans="10:22">
      <c r="J358" s="20">
        <v>3.12</v>
      </c>
      <c r="K358" s="21">
        <f t="shared" si="8"/>
        <v>3.2051282051282048E-2</v>
      </c>
      <c r="U358" s="20">
        <v>3.12</v>
      </c>
      <c r="V358" s="21">
        <f t="shared" si="9"/>
        <v>2.2097428687795111E-2</v>
      </c>
    </row>
    <row r="359" spans="10:22">
      <c r="J359" s="20">
        <v>3.13</v>
      </c>
      <c r="K359" s="21">
        <f t="shared" si="8"/>
        <v>3.1846808684379758E-2</v>
      </c>
      <c r="U359" s="20">
        <v>3.13</v>
      </c>
      <c r="V359" s="21">
        <f t="shared" si="9"/>
        <v>2.2012737201087301E-2</v>
      </c>
    </row>
    <row r="360" spans="10:22">
      <c r="J360" s="20">
        <v>3.14</v>
      </c>
      <c r="K360" s="21">
        <f t="shared" si="8"/>
        <v>3.1644285772242278E-2</v>
      </c>
      <c r="U360" s="20">
        <v>3.14</v>
      </c>
      <c r="V360" s="21">
        <f t="shared" si="9"/>
        <v>2.1928638904986562E-2</v>
      </c>
    </row>
    <row r="361" spans="10:22">
      <c r="J361" s="20">
        <v>3.15</v>
      </c>
      <c r="K361" s="21">
        <f t="shared" si="8"/>
        <v>3.1443688586545733E-2</v>
      </c>
      <c r="U361" s="20">
        <v>3.15</v>
      </c>
      <c r="V361" s="21">
        <f t="shared" si="9"/>
        <v>2.1845127775346283E-2</v>
      </c>
    </row>
    <row r="362" spans="10:22">
      <c r="J362" s="20">
        <v>3.16</v>
      </c>
      <c r="K362" s="21">
        <f t="shared" si="8"/>
        <v>3.1244992789617045E-2</v>
      </c>
      <c r="U362" s="20">
        <v>3.16</v>
      </c>
      <c r="V362" s="21">
        <f t="shared" si="9"/>
        <v>2.1762197868062213E-2</v>
      </c>
    </row>
    <row r="363" spans="10:22">
      <c r="J363" s="20">
        <v>3.17</v>
      </c>
      <c r="K363" s="21">
        <f t="shared" si="8"/>
        <v>3.1048174427051718E-2</v>
      </c>
      <c r="U363" s="20">
        <v>3.17</v>
      </c>
      <c r="V363" s="21">
        <f t="shared" si="9"/>
        <v>2.1679843317759909E-2</v>
      </c>
    </row>
    <row r="364" spans="10:22">
      <c r="J364" s="20">
        <v>3.18</v>
      </c>
      <c r="K364" s="21">
        <f t="shared" si="8"/>
        <v>3.0853209920493646E-2</v>
      </c>
      <c r="U364" s="20">
        <v>3.18</v>
      </c>
      <c r="V364" s="21">
        <f t="shared" si="9"/>
        <v>2.1598058336507714E-2</v>
      </c>
    </row>
    <row r="365" spans="10:22">
      <c r="J365" s="20">
        <v>3.19</v>
      </c>
      <c r="K365" s="21">
        <f t="shared" si="8"/>
        <v>3.0660076060573305E-2</v>
      </c>
      <c r="U365" s="20">
        <v>3.19</v>
      </c>
      <c r="V365" s="21">
        <f t="shared" si="9"/>
        <v>2.1516837212554759E-2</v>
      </c>
    </row>
    <row r="366" spans="10:22">
      <c r="J366" s="20">
        <v>3.2</v>
      </c>
      <c r="K366" s="21">
        <f t="shared" si="8"/>
        <v>3.0468749999999992E-2</v>
      </c>
      <c r="U366" s="20">
        <v>3.2</v>
      </c>
      <c r="V366" s="21">
        <f t="shared" si="9"/>
        <v>2.1436174309093427E-2</v>
      </c>
    </row>
    <row r="367" spans="10:22">
      <c r="J367" s="20">
        <v>3.21</v>
      </c>
      <c r="K367" s="21">
        <f t="shared" ref="K367:K430" si="10">IF(J367&lt;$G$44,$B$44*$C$44*$D$44*(2/3+(J367/$G$44)*(2.5*$E$44/$F$44-2/3)),IF(J367&lt;$H$44,$B$44*$C$44*$D$44*(2.5*$E$44/$F$44),IF(J367&lt;$I$44,$B$44*$C$44*$D$44*(2.5*$E$44/$F$44)*($H$44/J367),$B$44*$C$44*$D$44*(2.5*$E$44/$F$44)*($H$44*$I$44/J367^2))))</f>
        <v>3.0279209246804668E-2</v>
      </c>
      <c r="U367" s="20">
        <v>3.21</v>
      </c>
      <c r="V367" s="21">
        <f t="shared" ref="V367:V430" si="11">IF(U367&lt;$Q$44,$N$44*$O$44*(2/3+(U367/$Q$44)*(2.5/$P$44-2/3)),IF(U367&lt;$R$44,$N$44*$O$44*(2.5/$P$44),IF(U367&lt;$S$44,$N$44*$O$44*(2.5/$P$44)*(($R$44/U367)^$T$44),$N$44*$O$44*(2.5/$P$44)*($R$44*$S$44/U367^2)^$T$44)))</f>
        <v>2.1356064063045688E-2</v>
      </c>
    </row>
    <row r="368" spans="10:22">
      <c r="J368" s="20">
        <v>3.22</v>
      </c>
      <c r="K368" s="21">
        <f t="shared" si="10"/>
        <v>3.0091431657729251E-2</v>
      </c>
      <c r="U368" s="20">
        <v>3.22</v>
      </c>
      <c r="V368" s="21">
        <f t="shared" si="11"/>
        <v>2.127650098387281E-2</v>
      </c>
    </row>
    <row r="369" spans="10:22">
      <c r="J369" s="20">
        <v>3.23</v>
      </c>
      <c r="K369" s="21">
        <f t="shared" si="10"/>
        <v>2.9905395431759147E-2</v>
      </c>
      <c r="U369" s="20">
        <v>3.23</v>
      </c>
      <c r="V369" s="21">
        <f t="shared" si="11"/>
        <v>2.1197479652407921E-2</v>
      </c>
    </row>
    <row r="370" spans="10:22">
      <c r="J370" s="20">
        <v>3.24</v>
      </c>
      <c r="K370" s="21">
        <f t="shared" si="10"/>
        <v>2.9721079103795147E-2</v>
      </c>
      <c r="U370" s="20">
        <v>3.24</v>
      </c>
      <c r="V370" s="21">
        <f t="shared" si="11"/>
        <v>2.1118994719710855E-2</v>
      </c>
    </row>
    <row r="371" spans="10:22">
      <c r="J371" s="20">
        <v>3.25</v>
      </c>
      <c r="K371" s="21">
        <f t="shared" si="10"/>
        <v>2.9538461538461538E-2</v>
      </c>
      <c r="U371" s="20">
        <v>3.25</v>
      </c>
      <c r="V371" s="21">
        <f t="shared" si="11"/>
        <v>2.1041040905944913E-2</v>
      </c>
    </row>
    <row r="372" spans="10:22">
      <c r="J372" s="20">
        <v>3.26</v>
      </c>
      <c r="K372" s="21">
        <f t="shared" si="10"/>
        <v>2.9357521924046823E-2</v>
      </c>
      <c r="U372" s="20">
        <v>3.26</v>
      </c>
      <c r="V372" s="21">
        <f t="shared" si="11"/>
        <v>2.0963612999274898E-2</v>
      </c>
    </row>
    <row r="373" spans="10:22">
      <c r="J373" s="20">
        <v>3.27</v>
      </c>
      <c r="K373" s="21">
        <f t="shared" si="10"/>
        <v>2.9178239766574084E-2</v>
      </c>
      <c r="U373" s="20">
        <v>3.27</v>
      </c>
      <c r="V373" s="21">
        <f t="shared" si="11"/>
        <v>2.0886705854786101E-2</v>
      </c>
    </row>
    <row r="374" spans="10:22">
      <c r="J374" s="20">
        <v>3.28</v>
      </c>
      <c r="K374" s="21">
        <f t="shared" si="10"/>
        <v>2.9000594883997623E-2</v>
      </c>
      <c r="U374" s="20">
        <v>3.28</v>
      </c>
      <c r="V374" s="21">
        <f t="shared" si="11"/>
        <v>2.0810314393423696E-2</v>
      </c>
    </row>
    <row r="375" spans="10:22">
      <c r="J375" s="20">
        <v>3.29</v>
      </c>
      <c r="K375" s="21">
        <f t="shared" si="10"/>
        <v>2.8824567400522905E-2</v>
      </c>
      <c r="U375" s="20">
        <v>3.29</v>
      </c>
      <c r="V375" s="21">
        <f t="shared" si="11"/>
        <v>2.0734433600952076E-2</v>
      </c>
    </row>
    <row r="376" spans="10:22">
      <c r="J376" s="20">
        <v>3.3</v>
      </c>
      <c r="K376" s="21">
        <f t="shared" si="10"/>
        <v>2.8650137741046834E-2</v>
      </c>
      <c r="U376" s="20">
        <v>3.3</v>
      </c>
      <c r="V376" s="21">
        <f t="shared" si="11"/>
        <v>2.0659058526933831E-2</v>
      </c>
    </row>
    <row r="377" spans="10:22">
      <c r="J377" s="20">
        <v>3.31</v>
      </c>
      <c r="K377" s="21">
        <f t="shared" si="10"/>
        <v>2.8477286625715352E-2</v>
      </c>
      <c r="U377" s="20">
        <v>3.31</v>
      </c>
      <c r="V377" s="21">
        <f t="shared" si="11"/>
        <v>2.0584184283727727E-2</v>
      </c>
    </row>
    <row r="378" spans="10:22">
      <c r="J378" s="20">
        <v>3.32</v>
      </c>
      <c r="K378" s="21">
        <f t="shared" si="10"/>
        <v>2.8305995064595735E-2</v>
      </c>
      <c r="U378" s="20">
        <v>3.32</v>
      </c>
      <c r="V378" s="21">
        <f t="shared" si="11"/>
        <v>2.0509806045505456E-2</v>
      </c>
    </row>
    <row r="379" spans="10:22">
      <c r="J379" s="20">
        <v>3.33</v>
      </c>
      <c r="K379" s="21">
        <f t="shared" si="10"/>
        <v>2.8136244352460569E-2</v>
      </c>
      <c r="U379" s="20">
        <v>3.33</v>
      </c>
      <c r="V379" s="21">
        <f t="shared" si="11"/>
        <v>2.0435919047286706E-2</v>
      </c>
    </row>
    <row r="380" spans="10:22">
      <c r="J380" s="20">
        <v>3.34</v>
      </c>
      <c r="K380" s="21">
        <f t="shared" si="10"/>
        <v>2.7968016063681021E-2</v>
      </c>
      <c r="U380" s="20">
        <v>3.34</v>
      </c>
      <c r="V380" s="21">
        <f t="shared" si="11"/>
        <v>2.0362518583992111E-2</v>
      </c>
    </row>
    <row r="381" spans="10:22">
      <c r="J381" s="20">
        <v>3.35</v>
      </c>
      <c r="K381" s="21">
        <f t="shared" si="10"/>
        <v>2.7801292047226551E-2</v>
      </c>
      <c r="U381" s="20">
        <v>3.35</v>
      </c>
      <c r="V381" s="21">
        <f t="shared" si="11"/>
        <v>2.0289600009513686E-2</v>
      </c>
    </row>
    <row r="382" spans="10:22">
      <c r="J382" s="20">
        <v>3.36</v>
      </c>
      <c r="K382" s="21">
        <f t="shared" si="10"/>
        <v>2.763605442176871E-2</v>
      </c>
      <c r="U382" s="20">
        <v>3.36</v>
      </c>
      <c r="V382" s="21">
        <f t="shared" si="11"/>
        <v>2.0217158735802491E-2</v>
      </c>
    </row>
    <row r="383" spans="10:22">
      <c r="J383" s="20">
        <v>3.37</v>
      </c>
      <c r="K383" s="21">
        <f t="shared" si="10"/>
        <v>2.7472285570886417E-2</v>
      </c>
      <c r="U383" s="20">
        <v>3.37</v>
      </c>
      <c r="V383" s="21">
        <f t="shared" si="11"/>
        <v>2.0145190231972986E-2</v>
      </c>
    </row>
    <row r="384" spans="10:22">
      <c r="J384" s="20">
        <v>3.38</v>
      </c>
      <c r="K384" s="21">
        <f t="shared" si="10"/>
        <v>2.7309968138370506E-2</v>
      </c>
      <c r="U384" s="20">
        <v>3.38</v>
      </c>
      <c r="V384" s="21">
        <f t="shared" si="11"/>
        <v>2.0073690023423917E-2</v>
      </c>
    </row>
    <row r="385" spans="10:22">
      <c r="J385" s="20">
        <v>3.39</v>
      </c>
      <c r="K385" s="21">
        <f t="shared" si="10"/>
        <v>2.7149085023624921E-2</v>
      </c>
      <c r="U385" s="20">
        <v>3.39</v>
      </c>
      <c r="V385" s="21">
        <f t="shared" si="11"/>
        <v>2.0002653690975144E-2</v>
      </c>
    </row>
    <row r="386" spans="10:22">
      <c r="J386" s="20">
        <v>3.4</v>
      </c>
      <c r="K386" s="21">
        <f t="shared" si="10"/>
        <v>2.6989619377162634E-2</v>
      </c>
      <c r="U386" s="20">
        <v>3.4</v>
      </c>
      <c r="V386" s="21">
        <f t="shared" si="11"/>
        <v>1.9932076870020334E-2</v>
      </c>
    </row>
    <row r="387" spans="10:22">
      <c r="J387" s="20">
        <v>3.41</v>
      </c>
      <c r="K387" s="21">
        <f t="shared" si="10"/>
        <v>2.6831554596193699E-2</v>
      </c>
      <c r="U387" s="20">
        <v>3.41</v>
      </c>
      <c r="V387" s="21">
        <f t="shared" si="11"/>
        <v>1.9861955249694946E-2</v>
      </c>
    </row>
    <row r="388" spans="10:22">
      <c r="J388" s="20">
        <v>3.42</v>
      </c>
      <c r="K388" s="21">
        <f t="shared" si="10"/>
        <v>2.6674874320303688E-2</v>
      </c>
      <c r="U388" s="20">
        <v>3.42</v>
      </c>
      <c r="V388" s="21">
        <f t="shared" si="11"/>
        <v>1.9792284572059372E-2</v>
      </c>
    </row>
    <row r="389" spans="10:22">
      <c r="J389" s="20">
        <v>3.43</v>
      </c>
      <c r="K389" s="21">
        <f t="shared" si="10"/>
        <v>2.6519562427219947E-2</v>
      </c>
      <c r="U389" s="20">
        <v>3.43</v>
      </c>
      <c r="V389" s="21">
        <f t="shared" si="11"/>
        <v>1.9723060631296814E-2</v>
      </c>
    </row>
    <row r="390" spans="10:22">
      <c r="J390" s="20">
        <v>3.44</v>
      </c>
      <c r="K390" s="21">
        <f t="shared" si="10"/>
        <v>2.6365603028664145E-2</v>
      </c>
      <c r="U390" s="20">
        <v>3.44</v>
      </c>
      <c r="V390" s="21">
        <f t="shared" si="11"/>
        <v>1.9654279272925602E-2</v>
      </c>
    </row>
    <row r="391" spans="10:22">
      <c r="J391" s="20">
        <v>3.45</v>
      </c>
      <c r="K391" s="21">
        <f t="shared" si="10"/>
        <v>2.6212980466288591E-2</v>
      </c>
      <c r="U391" s="20">
        <v>3.45</v>
      </c>
      <c r="V391" s="21">
        <f t="shared" si="11"/>
        <v>1.9585936393025652E-2</v>
      </c>
    </row>
    <row r="392" spans="10:22">
      <c r="J392" s="20">
        <v>3.46</v>
      </c>
      <c r="K392" s="21">
        <f t="shared" si="10"/>
        <v>2.6061679307694877E-2</v>
      </c>
      <c r="U392" s="20">
        <v>3.46</v>
      </c>
      <c r="V392" s="21">
        <f t="shared" si="11"/>
        <v>1.9518027937478848E-2</v>
      </c>
    </row>
    <row r="393" spans="10:22">
      <c r="J393" s="20">
        <v>3.47</v>
      </c>
      <c r="K393" s="21">
        <f t="shared" si="10"/>
        <v>2.5911684342532531E-2</v>
      </c>
      <c r="U393" s="20">
        <v>3.47</v>
      </c>
      <c r="V393" s="21">
        <f t="shared" si="11"/>
        <v>1.9450549901222899E-2</v>
      </c>
    </row>
    <row r="394" spans="10:22">
      <c r="J394" s="20">
        <v>3.48</v>
      </c>
      <c r="K394" s="21">
        <f t="shared" si="10"/>
        <v>2.5762980578676178E-2</v>
      </c>
      <c r="U394" s="20">
        <v>3.48</v>
      </c>
      <c r="V394" s="21">
        <f t="shared" si="11"/>
        <v>1.9383498327518574E-2</v>
      </c>
    </row>
    <row r="395" spans="10:22">
      <c r="J395" s="20">
        <v>3.49</v>
      </c>
      <c r="K395" s="21">
        <f t="shared" si="10"/>
        <v>2.5615553238479156E-2</v>
      </c>
      <c r="U395" s="20">
        <v>3.49</v>
      </c>
      <c r="V395" s="21">
        <f t="shared" si="11"/>
        <v>1.9316869307229846E-2</v>
      </c>
    </row>
    <row r="396" spans="10:22">
      <c r="J396" s="20">
        <v>3.5</v>
      </c>
      <c r="K396" s="21">
        <f t="shared" si="10"/>
        <v>2.546938775510204E-2</v>
      </c>
      <c r="U396" s="20">
        <v>3.5</v>
      </c>
      <c r="V396" s="21">
        <f t="shared" si="11"/>
        <v>1.9250658978116938E-2</v>
      </c>
    </row>
    <row r="397" spans="10:22">
      <c r="J397" s="20">
        <v>3.51</v>
      </c>
      <c r="K397" s="21">
        <f t="shared" si="10"/>
        <v>2.5324469768914219E-2</v>
      </c>
      <c r="U397" s="20">
        <v>3.51</v>
      </c>
      <c r="V397" s="21">
        <f t="shared" si="11"/>
        <v>1.9184863524141678E-2</v>
      </c>
    </row>
    <row r="398" spans="10:22">
      <c r="J398" s="20">
        <v>3.52</v>
      </c>
      <c r="K398" s="21">
        <f t="shared" si="10"/>
        <v>2.5180785123966945E-2</v>
      </c>
      <c r="U398" s="20">
        <v>3.52</v>
      </c>
      <c r="V398" s="21">
        <f t="shared" si="11"/>
        <v>1.9119479174785219E-2</v>
      </c>
    </row>
    <row r="399" spans="10:22">
      <c r="J399" s="20">
        <v>3.53</v>
      </c>
      <c r="K399" s="21">
        <f t="shared" si="10"/>
        <v>2.5038319864536269E-2</v>
      </c>
      <c r="U399" s="20">
        <v>3.53</v>
      </c>
      <c r="V399" s="21">
        <f t="shared" si="11"/>
        <v>1.9054502204377669E-2</v>
      </c>
    </row>
    <row r="400" spans="10:22">
      <c r="J400" s="20">
        <v>3.54</v>
      </c>
      <c r="K400" s="21">
        <f t="shared" si="10"/>
        <v>2.4897060231734172E-2</v>
      </c>
      <c r="U400" s="20">
        <v>3.54</v>
      </c>
      <c r="V400" s="21">
        <f t="shared" si="11"/>
        <v>1.8989928931439481E-2</v>
      </c>
    </row>
    <row r="401" spans="10:22">
      <c r="J401" s="20">
        <v>3.55</v>
      </c>
      <c r="K401" s="21">
        <f t="shared" si="10"/>
        <v>2.475699266018647E-2</v>
      </c>
      <c r="U401" s="20">
        <v>3.55</v>
      </c>
      <c r="V401" s="21">
        <f t="shared" si="11"/>
        <v>1.8925755718034367E-2</v>
      </c>
    </row>
    <row r="402" spans="10:22">
      <c r="J402" s="20">
        <v>3.56</v>
      </c>
      <c r="K402" s="21">
        <f t="shared" si="10"/>
        <v>2.4618103774775912E-2</v>
      </c>
      <c r="U402" s="20">
        <v>3.56</v>
      </c>
      <c r="V402" s="21">
        <f t="shared" si="11"/>
        <v>1.88619789691334E-2</v>
      </c>
    </row>
    <row r="403" spans="10:22">
      <c r="J403" s="20">
        <v>3.57</v>
      </c>
      <c r="K403" s="21">
        <f t="shared" si="10"/>
        <v>2.4480380387449097E-2</v>
      </c>
      <c r="U403" s="20">
        <v>3.57</v>
      </c>
      <c r="V403" s="21">
        <f t="shared" si="11"/>
        <v>1.879859513199026E-2</v>
      </c>
    </row>
    <row r="404" spans="10:22">
      <c r="J404" s="20">
        <v>3.58</v>
      </c>
      <c r="K404" s="21">
        <f t="shared" si="10"/>
        <v>2.43438094940857E-2</v>
      </c>
      <c r="U404" s="20">
        <v>3.58</v>
      </c>
      <c r="V404" s="21">
        <f t="shared" si="11"/>
        <v>1.8735600695527203E-2</v>
      </c>
    </row>
    <row r="405" spans="10:22">
      <c r="J405" s="20">
        <v>3.59</v>
      </c>
      <c r="K405" s="21">
        <f t="shared" si="10"/>
        <v>2.4208378271428684E-2</v>
      </c>
      <c r="U405" s="20">
        <v>3.59</v>
      </c>
      <c r="V405" s="21">
        <f t="shared" si="11"/>
        <v>1.8672992189731723E-2</v>
      </c>
    </row>
    <row r="406" spans="10:22">
      <c r="J406" s="20">
        <v>3.6</v>
      </c>
      <c r="K406" s="21">
        <f t="shared" si="10"/>
        <v>2.4074074074074074E-2</v>
      </c>
      <c r="U406" s="20">
        <v>3.6</v>
      </c>
      <c r="V406" s="21">
        <f t="shared" si="11"/>
        <v>1.8610766185063507E-2</v>
      </c>
    </row>
    <row r="407" spans="10:22">
      <c r="J407" s="20">
        <v>3.61</v>
      </c>
      <c r="K407" s="21">
        <f t="shared" si="10"/>
        <v>2.3940884431519094E-2</v>
      </c>
      <c r="U407" s="20">
        <v>3.61</v>
      </c>
      <c r="V407" s="21">
        <f t="shared" si="11"/>
        <v>1.8548919291871618E-2</v>
      </c>
    </row>
    <row r="408" spans="10:22">
      <c r="J408" s="20">
        <v>3.62</v>
      </c>
      <c r="K408" s="21">
        <f t="shared" si="10"/>
        <v>2.3808797045267237E-2</v>
      </c>
      <c r="U408" s="20">
        <v>3.62</v>
      </c>
      <c r="V408" s="21">
        <f t="shared" si="11"/>
        <v>1.8487448159821698E-2</v>
      </c>
    </row>
    <row r="409" spans="10:22">
      <c r="J409" s="20">
        <v>3.63</v>
      </c>
      <c r="K409" s="21">
        <f t="shared" si="10"/>
        <v>2.367779978598912E-2</v>
      </c>
      <c r="U409" s="20">
        <v>3.63</v>
      </c>
      <c r="V409" s="21">
        <f t="shared" si="11"/>
        <v>1.8426349477332887E-2</v>
      </c>
    </row>
    <row r="410" spans="10:22">
      <c r="J410" s="20">
        <v>3.64</v>
      </c>
      <c r="K410" s="21">
        <f t="shared" si="10"/>
        <v>2.3547880690737832E-2</v>
      </c>
      <c r="U410" s="20">
        <v>3.64</v>
      </c>
      <c r="V410" s="21">
        <f t="shared" si="11"/>
        <v>1.8365619971024344E-2</v>
      </c>
    </row>
    <row r="411" spans="10:22">
      <c r="J411" s="20">
        <v>3.65</v>
      </c>
      <c r="K411" s="21">
        <f t="shared" si="10"/>
        <v>2.3419027960217678E-2</v>
      </c>
      <c r="U411" s="20">
        <v>3.65</v>
      </c>
      <c r="V411" s="21">
        <f t="shared" si="11"/>
        <v>1.830525640517118E-2</v>
      </c>
    </row>
    <row r="412" spans="10:22">
      <c r="J412" s="20">
        <v>3.66</v>
      </c>
      <c r="K412" s="21">
        <f t="shared" si="10"/>
        <v>2.3291229956104987E-2</v>
      </c>
      <c r="U412" s="20">
        <v>3.66</v>
      </c>
      <c r="V412" s="21">
        <f t="shared" si="11"/>
        <v>1.8245255581169621E-2</v>
      </c>
    </row>
    <row r="413" spans="10:22">
      <c r="J413" s="20">
        <v>3.67</v>
      </c>
      <c r="K413" s="21">
        <f t="shared" si="10"/>
        <v>2.3164475198420065E-2</v>
      </c>
      <c r="U413" s="20">
        <v>3.67</v>
      </c>
      <c r="V413" s="21">
        <f t="shared" si="11"/>
        <v>1.8185614337011182E-2</v>
      </c>
    </row>
    <row r="414" spans="10:22">
      <c r="J414" s="20">
        <v>3.68</v>
      </c>
      <c r="K414" s="21">
        <f t="shared" si="10"/>
        <v>2.3038752362948958E-2</v>
      </c>
      <c r="U414" s="20">
        <v>3.68</v>
      </c>
      <c r="V414" s="21">
        <f t="shared" si="11"/>
        <v>1.8126329546765661E-2</v>
      </c>
    </row>
    <row r="415" spans="10:22">
      <c r="J415" s="20">
        <v>3.69</v>
      </c>
      <c r="K415" s="21">
        <f t="shared" si="10"/>
        <v>2.2914050278714168E-2</v>
      </c>
      <c r="U415" s="20">
        <v>3.69</v>
      </c>
      <c r="V415" s="21">
        <f t="shared" si="11"/>
        <v>1.8067398120072915E-2</v>
      </c>
    </row>
    <row r="416" spans="10:22">
      <c r="J416" s="20">
        <v>3.7</v>
      </c>
      <c r="K416" s="21">
        <f t="shared" si="10"/>
        <v>2.2790357925493058E-2</v>
      </c>
      <c r="U416" s="20">
        <v>3.7</v>
      </c>
      <c r="V416" s="21">
        <f t="shared" si="11"/>
        <v>1.800881700164305E-2</v>
      </c>
    </row>
    <row r="417" spans="10:22">
      <c r="J417" s="20">
        <v>3.71</v>
      </c>
      <c r="K417" s="21">
        <f t="shared" si="10"/>
        <v>2.266766443138309E-2</v>
      </c>
      <c r="U417" s="20">
        <v>3.71</v>
      </c>
      <c r="V417" s="21">
        <f t="shared" si="11"/>
        <v>1.7950583170765016E-2</v>
      </c>
    </row>
    <row r="418" spans="10:22">
      <c r="J418" s="20">
        <v>3.72</v>
      </c>
      <c r="K418" s="21">
        <f t="shared" si="10"/>
        <v>2.2545959070412763E-2</v>
      </c>
      <c r="U418" s="20">
        <v>3.72</v>
      </c>
      <c r="V418" s="21">
        <f t="shared" si="11"/>
        <v>1.7892693640823382E-2</v>
      </c>
    </row>
    <row r="419" spans="10:22">
      <c r="J419" s="20">
        <v>3.73</v>
      </c>
      <c r="K419" s="21">
        <f t="shared" si="10"/>
        <v>2.2425231260197371E-2</v>
      </c>
      <c r="U419" s="20">
        <v>3.73</v>
      </c>
      <c r="V419" s="21">
        <f t="shared" si="11"/>
        <v>1.7835145458823153E-2</v>
      </c>
    </row>
    <row r="420" spans="10:22">
      <c r="J420" s="20">
        <v>3.74</v>
      </c>
      <c r="K420" s="21">
        <f t="shared" si="10"/>
        <v>2.2305470559638531E-2</v>
      </c>
      <c r="U420" s="20">
        <v>3.74</v>
      </c>
      <c r="V420" s="21">
        <f t="shared" si="11"/>
        <v>1.7777935704922376E-2</v>
      </c>
    </row>
    <row r="421" spans="10:22">
      <c r="J421" s="20">
        <v>3.75</v>
      </c>
      <c r="K421" s="21">
        <f t="shared" si="10"/>
        <v>2.2186666666666667E-2</v>
      </c>
      <c r="U421" s="20">
        <v>3.75</v>
      </c>
      <c r="V421" s="21">
        <f t="shared" si="11"/>
        <v>1.7721061491972639E-2</v>
      </c>
    </row>
    <row r="422" spans="10:22">
      <c r="J422" s="20">
        <v>3.76</v>
      </c>
      <c r="K422" s="21">
        <f t="shared" si="10"/>
        <v>2.2068809416025351E-2</v>
      </c>
      <c r="U422" s="20">
        <v>3.76</v>
      </c>
      <c r="V422" s="21">
        <f t="shared" si="11"/>
        <v>1.7664519965066974E-2</v>
      </c>
    </row>
    <row r="423" spans="10:22">
      <c r="J423" s="20">
        <v>3.77</v>
      </c>
      <c r="K423" s="21">
        <f t="shared" si="10"/>
        <v>2.1951888777096865E-2</v>
      </c>
      <c r="U423" s="20">
        <v>3.77</v>
      </c>
      <c r="V423" s="21">
        <f t="shared" si="11"/>
        <v>1.7608308301095284E-2</v>
      </c>
    </row>
    <row r="424" spans="10:22">
      <c r="J424" s="20">
        <v>3.78</v>
      </c>
      <c r="K424" s="21">
        <f t="shared" si="10"/>
        <v>2.183589485176787E-2</v>
      </c>
      <c r="U424" s="20">
        <v>3.78</v>
      </c>
      <c r="V424" s="21">
        <f t="shared" si="11"/>
        <v>1.7552423708307056E-2</v>
      </c>
    </row>
    <row r="425" spans="10:22">
      <c r="J425" s="20">
        <v>3.79</v>
      </c>
      <c r="K425" s="21">
        <f t="shared" si="10"/>
        <v>2.17208178723345E-2</v>
      </c>
      <c r="U425" s="20">
        <v>3.79</v>
      </c>
      <c r="V425" s="21">
        <f t="shared" si="11"/>
        <v>1.7496863425881203E-2</v>
      </c>
    </row>
    <row r="426" spans="10:22">
      <c r="J426" s="20">
        <v>3.8</v>
      </c>
      <c r="K426" s="21">
        <f t="shared" si="10"/>
        <v>2.1606648199445983E-2</v>
      </c>
      <c r="U426" s="20">
        <v>3.8</v>
      </c>
      <c r="V426" s="21">
        <f t="shared" si="11"/>
        <v>1.7441624723502924E-2</v>
      </c>
    </row>
    <row r="427" spans="10:22">
      <c r="J427" s="20">
        <v>3.81</v>
      </c>
      <c r="K427" s="21">
        <f t="shared" si="10"/>
        <v>2.1493376320085973E-2</v>
      </c>
      <c r="U427" s="20">
        <v>3.81</v>
      </c>
      <c r="V427" s="21">
        <f t="shared" si="11"/>
        <v>1.7386704900947465E-2</v>
      </c>
    </row>
    <row r="428" spans="10:22">
      <c r="J428" s="20">
        <v>3.82</v>
      </c>
      <c r="K428" s="21">
        <f t="shared" si="10"/>
        <v>2.1380992845590856E-2</v>
      </c>
      <c r="U428" s="20">
        <v>3.82</v>
      </c>
      <c r="V428" s="21">
        <f t="shared" si="11"/>
        <v>1.7332101287670626E-2</v>
      </c>
    </row>
    <row r="429" spans="10:22">
      <c r="J429" s="20">
        <v>3.83</v>
      </c>
      <c r="K429" s="21">
        <f t="shared" si="10"/>
        <v>2.1269488509704202E-2</v>
      </c>
      <c r="U429" s="20">
        <v>3.83</v>
      </c>
      <c r="V429" s="21">
        <f t="shared" si="11"/>
        <v>1.727781124240587E-2</v>
      </c>
    </row>
    <row r="430" spans="10:22">
      <c r="J430" s="20">
        <v>3.84</v>
      </c>
      <c r="K430" s="21">
        <f t="shared" si="10"/>
        <v>2.1158854166666668E-2</v>
      </c>
      <c r="U430" s="20">
        <v>3.84</v>
      </c>
      <c r="V430" s="21">
        <f t="shared" si="11"/>
        <v>1.722383215276798E-2</v>
      </c>
    </row>
    <row r="431" spans="10:22">
      <c r="J431" s="20">
        <v>3.85</v>
      </c>
      <c r="K431" s="21">
        <f t="shared" ref="K431:K446" si="12">IF(J431&lt;$G$44,$B$44*$C$44*$D$44*(2/3+(J431/$G$44)*(2.5*$E$44/$F$44-2/3)),IF(J431&lt;$H$44,$B$44*$C$44*$D$44*(2.5*$E$44/$F$44),IF(J431&lt;$I$44,$B$44*$C$44*$D$44*(2.5*$E$44/$F$44)*($H$44/J431),$B$44*$C$44*$D$44*(2.5*$E$44/$F$44)*($H$44*$I$44/J431^2))))</f>
        <v>2.1049080789340525E-2</v>
      </c>
      <c r="U431" s="20">
        <v>3.85</v>
      </c>
      <c r="V431" s="21">
        <f t="shared" ref="V431:V446" si="13">IF(U431&lt;$Q$44,$N$44*$O$44*(2/3+(U431/$Q$44)*(2.5/$P$44-2/3)),IF(U431&lt;$R$44,$N$44*$O$44*(2.5/$P$44),IF(U431&lt;$S$44,$N$44*$O$44*(2.5/$P$44)*(($R$44/U431)^$T$44),$N$44*$O$44*(2.5/$P$44)*($R$44*$S$44/U431^2)^$T$44)))</f>
        <v>1.7170161434863083E-2</v>
      </c>
    </row>
    <row r="432" spans="10:22">
      <c r="J432" s="20">
        <v>3.86</v>
      </c>
      <c r="K432" s="21">
        <f t="shared" si="12"/>
        <v>2.0940159467368252E-2</v>
      </c>
      <c r="U432" s="20">
        <v>3.86</v>
      </c>
      <c r="V432" s="21">
        <f t="shared" si="13"/>
        <v>1.7116796532904897E-2</v>
      </c>
    </row>
    <row r="433" spans="10:22">
      <c r="J433" s="20">
        <v>3.87</v>
      </c>
      <c r="K433" s="21">
        <f t="shared" si="12"/>
        <v>2.0832081405364258E-2</v>
      </c>
      <c r="U433" s="20">
        <v>3.87</v>
      </c>
      <c r="V433" s="21">
        <f t="shared" si="13"/>
        <v>1.7063734918837191E-2</v>
      </c>
    </row>
    <row r="434" spans="10:22">
      <c r="J434" s="20">
        <v>3.88</v>
      </c>
      <c r="K434" s="21">
        <f t="shared" si="12"/>
        <v>2.0724837921139338E-2</v>
      </c>
      <c r="U434" s="20">
        <v>3.88</v>
      </c>
      <c r="V434" s="21">
        <f t="shared" si="13"/>
        <v>1.701097409196221E-2</v>
      </c>
    </row>
    <row r="435" spans="10:22">
      <c r="J435" s="20">
        <v>3.89</v>
      </c>
      <c r="K435" s="21">
        <f t="shared" si="12"/>
        <v>2.0618420443956884E-2</v>
      </c>
      <c r="U435" s="20">
        <v>3.89</v>
      </c>
      <c r="V435" s="21">
        <f t="shared" si="13"/>
        <v>1.6958511578575065E-2</v>
      </c>
    </row>
    <row r="436" spans="10:22">
      <c r="J436" s="20">
        <v>3.9</v>
      </c>
      <c r="K436" s="21">
        <f t="shared" si="12"/>
        <v>2.0512820512820513E-2</v>
      </c>
      <c r="U436" s="20">
        <v>3.9</v>
      </c>
      <c r="V436" s="21">
        <f t="shared" si="13"/>
        <v>1.6906344931603944E-2</v>
      </c>
    </row>
    <row r="437" spans="10:22">
      <c r="J437" s="20">
        <v>3.91</v>
      </c>
      <c r="K437" s="21">
        <f t="shared" si="12"/>
        <v>2.0408029774792155E-2</v>
      </c>
      <c r="U437" s="20">
        <v>3.91</v>
      </c>
      <c r="V437" s="21">
        <f t="shared" si="13"/>
        <v>1.6854471730255949E-2</v>
      </c>
    </row>
    <row r="438" spans="10:22">
      <c r="J438" s="20">
        <v>3.92</v>
      </c>
      <c r="K438" s="21">
        <f t="shared" si="12"/>
        <v>2.0304039983340277E-2</v>
      </c>
      <c r="U438" s="20">
        <v>3.92</v>
      </c>
      <c r="V438" s="21">
        <f t="shared" si="13"/>
        <v>1.6802889579668644E-2</v>
      </c>
    </row>
    <row r="439" spans="10:22">
      <c r="J439" s="20">
        <v>3.93</v>
      </c>
      <c r="K439" s="21">
        <f t="shared" si="12"/>
        <v>2.0200842996717362E-2</v>
      </c>
      <c r="U439" s="20">
        <v>3.93</v>
      </c>
      <c r="V439" s="21">
        <f t="shared" si="13"/>
        <v>1.6751596110567004E-2</v>
      </c>
    </row>
    <row r="440" spans="10:22">
      <c r="J440" s="20">
        <v>3.94</v>
      </c>
      <c r="K440" s="21">
        <f t="shared" si="12"/>
        <v>2.0098430776366309E-2</v>
      </c>
      <c r="U440" s="20">
        <v>3.94</v>
      </c>
      <c r="V440" s="21">
        <f t="shared" si="13"/>
        <v>1.6700588978925821E-2</v>
      </c>
    </row>
    <row r="441" spans="10:22">
      <c r="J441" s="20">
        <v>3.95</v>
      </c>
      <c r="K441" s="21">
        <f t="shared" si="12"/>
        <v>1.9996795385354909E-2</v>
      </c>
      <c r="U441" s="20">
        <v>3.95</v>
      </c>
      <c r="V441" s="21">
        <f t="shared" si="13"/>
        <v>1.6649865865637374E-2</v>
      </c>
    </row>
    <row r="442" spans="10:22">
      <c r="J442" s="20">
        <v>3.96</v>
      </c>
      <c r="K442" s="21">
        <f t="shared" si="12"/>
        <v>1.989592898683808E-2</v>
      </c>
      <c r="U442" s="20">
        <v>3.96</v>
      </c>
      <c r="V442" s="21">
        <f t="shared" si="13"/>
        <v>1.6599424476184302E-2</v>
      </c>
    </row>
    <row r="443" spans="10:22">
      <c r="J443" s="20">
        <v>3.97</v>
      </c>
      <c r="K443" s="21">
        <f t="shared" si="12"/>
        <v>1.979582384254706E-2</v>
      </c>
      <c r="U443" s="20">
        <v>3.97</v>
      </c>
      <c r="V443" s="21">
        <f t="shared" si="13"/>
        <v>1.6549262540317633E-2</v>
      </c>
    </row>
    <row r="444" spans="10:22">
      <c r="J444" s="20">
        <v>3.98</v>
      </c>
      <c r="K444" s="21">
        <f t="shared" si="12"/>
        <v>1.9696472311305269E-2</v>
      </c>
      <c r="U444" s="20">
        <v>3.98</v>
      </c>
      <c r="V444" s="21">
        <f t="shared" si="13"/>
        <v>1.6499377811739751E-2</v>
      </c>
    </row>
    <row r="445" spans="10:22">
      <c r="J445" s="20">
        <v>3.99</v>
      </c>
      <c r="K445" s="21">
        <f t="shared" si="12"/>
        <v>1.9597866847570051E-2</v>
      </c>
      <c r="U445" s="20">
        <v>3.99</v>
      </c>
      <c r="V445" s="21">
        <f t="shared" si="13"/>
        <v>1.6449768067792345E-2</v>
      </c>
    </row>
    <row r="446" spans="10:22">
      <c r="J446" s="20">
        <v>4</v>
      </c>
      <c r="K446" s="21">
        <f t="shared" si="12"/>
        <v>1.95E-2</v>
      </c>
      <c r="U446" s="20">
        <v>4</v>
      </c>
      <c r="V446" s="21">
        <f t="shared" si="13"/>
        <v>1.6400431109149179E-2</v>
      </c>
    </row>
  </sheetData>
  <sheetProtection password="DE00" sheet="1" objects="1" scenarios="1" formatCells="0" formatColumns="0" formatRows="0" insertColumns="0" insertRows="0" insertHyperlinks="0" deleteColumns="0" deleteRows="0" sort="0" autoFilter="0" pivotTables="0"/>
  <mergeCells count="12">
    <mergeCell ref="N41:U41"/>
    <mergeCell ref="B2:N2"/>
    <mergeCell ref="G3:N3"/>
    <mergeCell ref="B35:H35"/>
    <mergeCell ref="B41:H41"/>
    <mergeCell ref="B5:H5"/>
    <mergeCell ref="B18:J18"/>
    <mergeCell ref="B26:J26"/>
    <mergeCell ref="N18:W18"/>
    <mergeCell ref="N26:W26"/>
    <mergeCell ref="B16:J16"/>
    <mergeCell ref="N16:X16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>
    <tabColor rgb="FF00B050"/>
  </sheetPr>
  <dimension ref="A1:Q35"/>
  <sheetViews>
    <sheetView showGridLines="0" topLeftCell="C7" workbookViewId="0">
      <selection activeCell="H14" sqref="H14"/>
    </sheetView>
  </sheetViews>
  <sheetFormatPr defaultColWidth="9.140625" defaultRowHeight="15.75"/>
  <cols>
    <col min="1" max="1" width="0" style="1" hidden="1" customWidth="1"/>
    <col min="2" max="3" width="9.140625" style="1"/>
    <col min="4" max="5" width="13.5703125" style="1" customWidth="1"/>
    <col min="6" max="6" width="12.140625" style="1" customWidth="1"/>
    <col min="7" max="7" width="15.140625" style="1" customWidth="1"/>
    <col min="8" max="9" width="13.28515625" style="1" customWidth="1"/>
    <col min="10" max="10" width="12.28515625" style="1" customWidth="1"/>
    <col min="11" max="13" width="11.85546875" style="1" customWidth="1"/>
    <col min="14" max="14" width="11.42578125" style="1" customWidth="1"/>
    <col min="15" max="16" width="8.5703125" style="1" customWidth="1"/>
    <col min="17" max="17" width="9.7109375" style="1" bestFit="1" customWidth="1"/>
    <col min="18" max="21" width="8.5703125" style="1" customWidth="1"/>
    <col min="22" max="16384" width="9.140625" style="1"/>
  </cols>
  <sheetData>
    <row r="1" spans="1:17" ht="16.5" thickBot="1">
      <c r="A1" s="5"/>
      <c r="B1" s="5"/>
      <c r="C1" s="5"/>
      <c r="D1" s="5"/>
      <c r="E1" s="5"/>
      <c r="F1" s="5"/>
      <c r="G1" s="5"/>
    </row>
    <row r="2" spans="1:17" ht="22.5" customHeight="1" thickTop="1">
      <c r="A2" s="5"/>
      <c r="B2" s="5"/>
      <c r="D2" s="287" t="s">
        <v>157</v>
      </c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9"/>
    </row>
    <row r="3" spans="1:17" ht="16.5" thickBot="1">
      <c r="A3" s="5"/>
      <c r="B3" s="5"/>
      <c r="D3" s="46" t="s">
        <v>151</v>
      </c>
      <c r="E3" s="48"/>
      <c r="F3" s="48" t="str">
        <f>'CALCUL RPA'!$D$3</f>
        <v>Vers 1.5.1</v>
      </c>
      <c r="G3" s="49"/>
      <c r="H3" s="171"/>
      <c r="I3" s="171"/>
      <c r="J3" s="171"/>
      <c r="K3" s="171"/>
      <c r="L3" s="171"/>
      <c r="M3" s="171"/>
      <c r="N3" s="171"/>
      <c r="O3" s="172"/>
    </row>
    <row r="4" spans="1:17" ht="17.25" thickTop="1" thickBot="1"/>
    <row r="5" spans="1:17" ht="20.25" thickTop="1" thickBot="1">
      <c r="D5" s="200" t="s">
        <v>3</v>
      </c>
      <c r="E5" s="200" t="s">
        <v>0</v>
      </c>
      <c r="F5" s="200" t="s">
        <v>1</v>
      </c>
      <c r="G5" s="217" t="s">
        <v>220</v>
      </c>
      <c r="H5" s="217" t="s">
        <v>221</v>
      </c>
      <c r="I5" s="155" t="s">
        <v>152</v>
      </c>
      <c r="J5" s="155" t="s">
        <v>20</v>
      </c>
      <c r="K5" s="200" t="s">
        <v>203</v>
      </c>
      <c r="L5" s="200" t="s">
        <v>201</v>
      </c>
      <c r="M5" s="212" t="s">
        <v>202</v>
      </c>
      <c r="N5" s="200" t="s">
        <v>92</v>
      </c>
      <c r="O5" s="200" t="s">
        <v>93</v>
      </c>
    </row>
    <row r="6" spans="1:17" ht="22.5" customHeight="1" thickTop="1" thickBot="1">
      <c r="D6" s="202" t="s">
        <v>7</v>
      </c>
      <c r="E6" s="202">
        <v>2</v>
      </c>
      <c r="F6" s="202" t="s">
        <v>11</v>
      </c>
      <c r="G6" s="142">
        <v>1.2</v>
      </c>
      <c r="H6" s="142">
        <v>1.2</v>
      </c>
      <c r="I6" s="157">
        <v>0.05</v>
      </c>
      <c r="J6" s="156">
        <v>10</v>
      </c>
      <c r="K6" s="203">
        <v>5</v>
      </c>
      <c r="L6" s="201">
        <v>0.53</v>
      </c>
      <c r="M6" s="213">
        <v>0.5</v>
      </c>
      <c r="N6" s="201">
        <v>11.52</v>
      </c>
      <c r="O6" s="201">
        <v>9.66</v>
      </c>
    </row>
    <row r="7" spans="1:17" ht="36.75" customHeight="1" thickTop="1" thickBot="1">
      <c r="D7" s="283" t="s">
        <v>119</v>
      </c>
      <c r="E7" s="283"/>
      <c r="F7" s="295" t="s">
        <v>67</v>
      </c>
      <c r="G7" s="295"/>
      <c r="H7" s="284" t="s">
        <v>172</v>
      </c>
      <c r="I7" s="285"/>
      <c r="J7" s="285"/>
      <c r="K7" s="285"/>
      <c r="L7" s="285"/>
      <c r="M7" s="285"/>
      <c r="N7" s="286"/>
      <c r="O7" s="158" t="s">
        <v>174</v>
      </c>
    </row>
    <row r="8" spans="1:17" ht="16.5" thickTop="1">
      <c r="O8" s="3"/>
      <c r="P8" s="3"/>
    </row>
    <row r="9" spans="1:17">
      <c r="M9"/>
    </row>
    <row r="10" spans="1:17" ht="16.5" thickBot="1"/>
    <row r="11" spans="1:17" ht="18" thickTop="1" thickBot="1">
      <c r="I11" s="7"/>
      <c r="J11" s="294" t="s">
        <v>79</v>
      </c>
      <c r="K11" s="294"/>
      <c r="L11" s="294" t="s">
        <v>60</v>
      </c>
      <c r="M11" s="294"/>
      <c r="N11" s="290" t="s">
        <v>175</v>
      </c>
      <c r="O11" s="291"/>
    </row>
    <row r="12" spans="1:17" ht="18" thickTop="1" thickBot="1">
      <c r="D12" s="179"/>
      <c r="E12" s="146" t="s">
        <v>104</v>
      </c>
      <c r="F12" s="146" t="s">
        <v>105</v>
      </c>
      <c r="G12" s="146" t="s">
        <v>177</v>
      </c>
      <c r="H12" s="296" t="s">
        <v>110</v>
      </c>
      <c r="I12" s="296"/>
      <c r="J12" s="296" t="s">
        <v>80</v>
      </c>
      <c r="K12" s="296"/>
      <c r="L12" s="296" t="s">
        <v>80</v>
      </c>
      <c r="M12" s="296"/>
      <c r="N12" s="292"/>
      <c r="O12" s="293"/>
    </row>
    <row r="13" spans="1:17" ht="18" thickTop="1" thickBot="1">
      <c r="A13" s="181">
        <v>1</v>
      </c>
      <c r="B13" s="181"/>
      <c r="D13" s="146" t="s">
        <v>81</v>
      </c>
      <c r="E13" s="146" t="s">
        <v>124</v>
      </c>
      <c r="F13" s="146" t="s">
        <v>180</v>
      </c>
      <c r="G13" s="146" t="s">
        <v>183</v>
      </c>
      <c r="H13" s="146" t="s">
        <v>178</v>
      </c>
      <c r="I13" s="146" t="s">
        <v>179</v>
      </c>
      <c r="J13" s="146" t="s">
        <v>181</v>
      </c>
      <c r="K13" s="146" t="s">
        <v>182</v>
      </c>
      <c r="L13" s="146" t="s">
        <v>181</v>
      </c>
      <c r="M13" s="146" t="s">
        <v>182</v>
      </c>
      <c r="N13" s="173"/>
      <c r="O13" s="174"/>
    </row>
    <row r="14" spans="1:17" ht="18" thickTop="1" thickBot="1">
      <c r="A14" s="181">
        <v>2</v>
      </c>
      <c r="B14" s="181"/>
      <c r="D14" s="180">
        <f t="shared" ref="D14:D33" si="0">IF(A13&lt;=$K$6,A13," ")</f>
        <v>1</v>
      </c>
      <c r="E14" s="184">
        <f>IF(F14=0," ",IF(G15=0,G14,G14-G15))</f>
        <v>5245.1399999999994</v>
      </c>
      <c r="F14" s="147">
        <v>3.06</v>
      </c>
      <c r="G14" s="150">
        <v>24870.639999999999</v>
      </c>
      <c r="H14" s="185">
        <v>2.8000000000000001E-2</v>
      </c>
      <c r="I14" s="185">
        <v>2.5000000000000001E-2</v>
      </c>
      <c r="J14" s="150">
        <v>256.43</v>
      </c>
      <c r="K14" s="150">
        <v>240.27</v>
      </c>
      <c r="L14" s="150">
        <v>185.59</v>
      </c>
      <c r="M14" s="150">
        <v>219.78</v>
      </c>
      <c r="N14" s="175"/>
      <c r="O14" s="176"/>
      <c r="Q14" s="187"/>
    </row>
    <row r="15" spans="1:17" ht="18" thickTop="1" thickBot="1">
      <c r="A15" s="181">
        <v>3</v>
      </c>
      <c r="B15" s="181"/>
      <c r="D15" s="180">
        <f t="shared" si="0"/>
        <v>2</v>
      </c>
      <c r="E15" s="184">
        <f t="shared" ref="E15:E33" si="1">IF(F15=0," ",IF(G16=0,G15,G15-G16))</f>
        <v>5035.0499999999993</v>
      </c>
      <c r="F15" s="147">
        <v>3.06</v>
      </c>
      <c r="G15" s="150">
        <v>19625.5</v>
      </c>
      <c r="H15" s="185">
        <v>4.7E-2</v>
      </c>
      <c r="I15" s="185">
        <v>4.2999999999999997E-2</v>
      </c>
      <c r="J15" s="150">
        <v>188.49</v>
      </c>
      <c r="K15" s="150">
        <v>209.62</v>
      </c>
      <c r="L15" s="150">
        <v>213.67</v>
      </c>
      <c r="M15" s="150">
        <v>209.15</v>
      </c>
      <c r="N15" s="175"/>
      <c r="O15" s="176"/>
      <c r="Q15" s="186"/>
    </row>
    <row r="16" spans="1:17" ht="18" thickTop="1" thickBot="1">
      <c r="A16" s="181">
        <v>4</v>
      </c>
      <c r="B16" s="181"/>
      <c r="D16" s="180">
        <f t="shared" si="0"/>
        <v>3</v>
      </c>
      <c r="E16" s="184">
        <f t="shared" si="1"/>
        <v>5035.0500000000011</v>
      </c>
      <c r="F16" s="147">
        <v>3.06</v>
      </c>
      <c r="G16" s="150">
        <v>14590.45</v>
      </c>
      <c r="H16" s="185">
        <v>4.8000000000000001E-2</v>
      </c>
      <c r="I16" s="185">
        <v>4.3999999999999997E-2</v>
      </c>
      <c r="J16" s="150">
        <v>125.82</v>
      </c>
      <c r="K16" s="150">
        <v>151.88999999999999</v>
      </c>
      <c r="L16" s="150">
        <v>214.29</v>
      </c>
      <c r="M16" s="150">
        <v>202.69</v>
      </c>
      <c r="N16" s="175"/>
      <c r="O16" s="176"/>
      <c r="Q16" s="186"/>
    </row>
    <row r="17" spans="1:17" ht="18" thickTop="1" thickBot="1">
      <c r="A17" s="181">
        <v>5</v>
      </c>
      <c r="B17" s="181"/>
      <c r="D17" s="180">
        <f t="shared" si="0"/>
        <v>4</v>
      </c>
      <c r="E17" s="184">
        <f t="shared" si="1"/>
        <v>5037.6499999999996</v>
      </c>
      <c r="F17" s="147">
        <v>3.06</v>
      </c>
      <c r="G17" s="150">
        <v>9555.4</v>
      </c>
      <c r="H17" s="185">
        <v>4.1000000000000002E-2</v>
      </c>
      <c r="I17" s="185">
        <v>3.9E-2</v>
      </c>
      <c r="J17" s="150">
        <v>81.900000000000006</v>
      </c>
      <c r="K17" s="150">
        <v>108.93</v>
      </c>
      <c r="L17" s="150">
        <v>184</v>
      </c>
      <c r="M17" s="150">
        <v>167.43</v>
      </c>
      <c r="N17" s="175"/>
      <c r="O17" s="176"/>
      <c r="Q17" s="186"/>
    </row>
    <row r="18" spans="1:17" ht="18" thickTop="1" thickBot="1">
      <c r="A18" s="181">
        <v>6</v>
      </c>
      <c r="B18" s="181"/>
      <c r="D18" s="180">
        <f t="shared" si="0"/>
        <v>5</v>
      </c>
      <c r="E18" s="184">
        <f t="shared" si="1"/>
        <v>4517.75</v>
      </c>
      <c r="F18" s="147">
        <v>3.06</v>
      </c>
      <c r="G18" s="150">
        <v>4517.75</v>
      </c>
      <c r="H18" s="185">
        <v>3.3000000000000002E-2</v>
      </c>
      <c r="I18" s="185">
        <v>3.3000000000000002E-2</v>
      </c>
      <c r="J18" s="150">
        <v>25.43</v>
      </c>
      <c r="K18" s="150">
        <v>12.03</v>
      </c>
      <c r="L18" s="150">
        <v>140.63</v>
      </c>
      <c r="M18" s="150">
        <v>158.69</v>
      </c>
      <c r="N18" s="175"/>
      <c r="O18" s="176"/>
      <c r="Q18" s="186"/>
    </row>
    <row r="19" spans="1:17" ht="18" thickTop="1" thickBot="1">
      <c r="A19" s="181">
        <v>7</v>
      </c>
      <c r="B19" s="181"/>
      <c r="D19" s="180" t="str">
        <f t="shared" si="0"/>
        <v xml:space="preserve"> </v>
      </c>
      <c r="E19" s="184" t="str">
        <f t="shared" si="1"/>
        <v xml:space="preserve"> </v>
      </c>
      <c r="F19" s="147"/>
      <c r="G19" s="148"/>
      <c r="H19" s="148"/>
      <c r="I19" s="148"/>
      <c r="J19" s="150"/>
      <c r="K19" s="150"/>
      <c r="L19" s="150"/>
      <c r="M19" s="150"/>
      <c r="N19" s="175"/>
      <c r="O19" s="176"/>
    </row>
    <row r="20" spans="1:17" ht="18" thickTop="1" thickBot="1">
      <c r="A20" s="181">
        <v>8</v>
      </c>
      <c r="B20" s="181"/>
      <c r="D20" s="180" t="str">
        <f t="shared" si="0"/>
        <v xml:space="preserve"> </v>
      </c>
      <c r="E20" s="184" t="str">
        <f t="shared" si="1"/>
        <v xml:space="preserve"> </v>
      </c>
      <c r="F20" s="147"/>
      <c r="G20" s="148"/>
      <c r="H20" s="148"/>
      <c r="I20" s="148"/>
      <c r="J20" s="150"/>
      <c r="K20" s="150"/>
      <c r="L20" s="150"/>
      <c r="M20" s="150"/>
      <c r="N20" s="175"/>
      <c r="O20" s="176"/>
    </row>
    <row r="21" spans="1:17" ht="18" thickTop="1" thickBot="1">
      <c r="A21" s="181">
        <v>9</v>
      </c>
      <c r="B21" s="181"/>
      <c r="D21" s="180" t="str">
        <f t="shared" si="0"/>
        <v xml:space="preserve"> </v>
      </c>
      <c r="E21" s="184" t="str">
        <f t="shared" si="1"/>
        <v xml:space="preserve"> </v>
      </c>
      <c r="F21" s="147"/>
      <c r="G21" s="148"/>
      <c r="H21" s="148"/>
      <c r="I21" s="148"/>
      <c r="J21" s="150"/>
      <c r="K21" s="150"/>
      <c r="L21" s="150"/>
      <c r="M21" s="150"/>
      <c r="N21" s="175"/>
      <c r="O21" s="176"/>
    </row>
    <row r="22" spans="1:17" ht="18" thickTop="1" thickBot="1">
      <c r="A22" s="181">
        <v>10</v>
      </c>
      <c r="B22" s="181"/>
      <c r="D22" s="180" t="str">
        <f t="shared" si="0"/>
        <v xml:space="preserve"> </v>
      </c>
      <c r="E22" s="184" t="str">
        <f t="shared" si="1"/>
        <v xml:space="preserve"> </v>
      </c>
      <c r="F22" s="147"/>
      <c r="G22" s="148"/>
      <c r="H22" s="148"/>
      <c r="I22" s="148"/>
      <c r="J22" s="150"/>
      <c r="K22" s="150"/>
      <c r="L22" s="150"/>
      <c r="M22" s="150"/>
      <c r="N22" s="175"/>
      <c r="O22" s="176"/>
    </row>
    <row r="23" spans="1:17" ht="18" thickTop="1" thickBot="1">
      <c r="A23" s="181">
        <v>11</v>
      </c>
      <c r="B23" s="181"/>
      <c r="D23" s="180" t="str">
        <f t="shared" si="0"/>
        <v xml:space="preserve"> </v>
      </c>
      <c r="E23" s="184" t="str">
        <f t="shared" si="1"/>
        <v xml:space="preserve"> </v>
      </c>
      <c r="F23" s="147"/>
      <c r="G23" s="148"/>
      <c r="H23" s="148"/>
      <c r="I23" s="148"/>
      <c r="J23" s="150"/>
      <c r="K23" s="150"/>
      <c r="L23" s="150"/>
      <c r="M23" s="150"/>
      <c r="N23" s="175"/>
      <c r="O23" s="176"/>
    </row>
    <row r="24" spans="1:17" ht="18" thickTop="1" thickBot="1">
      <c r="A24" s="181">
        <v>12</v>
      </c>
      <c r="B24" s="181"/>
      <c r="D24" s="180" t="str">
        <f t="shared" si="0"/>
        <v xml:space="preserve"> </v>
      </c>
      <c r="E24" s="184" t="str">
        <f t="shared" si="1"/>
        <v xml:space="preserve"> </v>
      </c>
      <c r="F24" s="149"/>
      <c r="G24" s="148"/>
      <c r="H24" s="148"/>
      <c r="I24" s="148"/>
      <c r="J24" s="150"/>
      <c r="K24" s="150"/>
      <c r="L24" s="150"/>
      <c r="M24" s="150"/>
      <c r="N24" s="175"/>
      <c r="O24" s="176"/>
    </row>
    <row r="25" spans="1:17" ht="18" thickTop="1" thickBot="1">
      <c r="A25" s="181">
        <v>13</v>
      </c>
      <c r="B25" s="181"/>
      <c r="D25" s="180" t="str">
        <f t="shared" si="0"/>
        <v xml:space="preserve"> </v>
      </c>
      <c r="E25" s="184" t="str">
        <f t="shared" si="1"/>
        <v xml:space="preserve"> </v>
      </c>
      <c r="F25" s="149"/>
      <c r="G25" s="148"/>
      <c r="H25" s="148"/>
      <c r="I25" s="148"/>
      <c r="J25" s="150"/>
      <c r="K25" s="150"/>
      <c r="L25" s="150"/>
      <c r="M25" s="150"/>
      <c r="N25" s="175"/>
      <c r="O25" s="176"/>
    </row>
    <row r="26" spans="1:17" ht="18" thickTop="1" thickBot="1">
      <c r="A26" s="181">
        <v>14</v>
      </c>
      <c r="B26" s="181"/>
      <c r="D26" s="180" t="str">
        <f t="shared" si="0"/>
        <v xml:space="preserve"> </v>
      </c>
      <c r="E26" s="184" t="str">
        <f t="shared" si="1"/>
        <v xml:space="preserve"> </v>
      </c>
      <c r="F26" s="149"/>
      <c r="G26" s="148"/>
      <c r="H26" s="148"/>
      <c r="I26" s="148"/>
      <c r="J26" s="150"/>
      <c r="K26" s="150"/>
      <c r="L26" s="150"/>
      <c r="M26" s="150"/>
      <c r="N26" s="175"/>
      <c r="O26" s="176"/>
    </row>
    <row r="27" spans="1:17" ht="18" thickTop="1" thickBot="1">
      <c r="A27" s="181">
        <v>15</v>
      </c>
      <c r="B27" s="181"/>
      <c r="D27" s="180" t="str">
        <f t="shared" si="0"/>
        <v xml:space="preserve"> </v>
      </c>
      <c r="E27" s="184" t="str">
        <f t="shared" si="1"/>
        <v xml:space="preserve"> </v>
      </c>
      <c r="F27" s="149"/>
      <c r="G27" s="148"/>
      <c r="H27" s="148"/>
      <c r="I27" s="148"/>
      <c r="J27" s="150"/>
      <c r="K27" s="150"/>
      <c r="L27" s="150"/>
      <c r="M27" s="150"/>
      <c r="N27" s="175"/>
      <c r="O27" s="176"/>
    </row>
    <row r="28" spans="1:17" ht="18" thickTop="1" thickBot="1">
      <c r="A28" s="181">
        <v>16</v>
      </c>
      <c r="B28" s="181"/>
      <c r="D28" s="180" t="str">
        <f t="shared" si="0"/>
        <v xml:space="preserve"> </v>
      </c>
      <c r="E28" s="184" t="str">
        <f t="shared" si="1"/>
        <v xml:space="preserve"> </v>
      </c>
      <c r="F28" s="149"/>
      <c r="G28" s="148"/>
      <c r="H28" s="148"/>
      <c r="I28" s="148"/>
      <c r="J28" s="150"/>
      <c r="K28" s="150"/>
      <c r="L28" s="150"/>
      <c r="M28" s="150"/>
      <c r="N28" s="175"/>
      <c r="O28" s="176"/>
    </row>
    <row r="29" spans="1:17" ht="18" thickTop="1" thickBot="1">
      <c r="A29" s="181">
        <v>17</v>
      </c>
      <c r="B29" s="181"/>
      <c r="D29" s="180" t="str">
        <f t="shared" si="0"/>
        <v xml:space="preserve"> </v>
      </c>
      <c r="E29" s="184" t="str">
        <f t="shared" si="1"/>
        <v xml:space="preserve"> </v>
      </c>
      <c r="F29" s="149"/>
      <c r="G29" s="148"/>
      <c r="H29" s="148"/>
      <c r="I29" s="148"/>
      <c r="J29" s="150"/>
      <c r="K29" s="150"/>
      <c r="L29" s="150"/>
      <c r="M29" s="150"/>
      <c r="N29" s="175"/>
      <c r="O29" s="176"/>
    </row>
    <row r="30" spans="1:17" ht="18" thickTop="1" thickBot="1">
      <c r="A30" s="181">
        <v>18</v>
      </c>
      <c r="B30" s="181"/>
      <c r="D30" s="180" t="str">
        <f t="shared" si="0"/>
        <v xml:space="preserve"> </v>
      </c>
      <c r="E30" s="184" t="str">
        <f t="shared" si="1"/>
        <v xml:space="preserve"> </v>
      </c>
      <c r="F30" s="149"/>
      <c r="G30" s="148"/>
      <c r="H30" s="148"/>
      <c r="I30" s="148"/>
      <c r="J30" s="150"/>
      <c r="K30" s="150"/>
      <c r="L30" s="150"/>
      <c r="M30" s="150"/>
      <c r="N30" s="175"/>
      <c r="O30" s="176"/>
    </row>
    <row r="31" spans="1:17" ht="18" thickTop="1" thickBot="1">
      <c r="A31" s="181">
        <v>19</v>
      </c>
      <c r="B31" s="181"/>
      <c r="D31" s="180" t="str">
        <f t="shared" si="0"/>
        <v xml:space="preserve"> </v>
      </c>
      <c r="E31" s="184" t="str">
        <f t="shared" si="1"/>
        <v xml:space="preserve"> </v>
      </c>
      <c r="F31" s="149"/>
      <c r="G31" s="148"/>
      <c r="H31" s="148"/>
      <c r="I31" s="148"/>
      <c r="J31" s="150"/>
      <c r="K31" s="150"/>
      <c r="L31" s="150"/>
      <c r="M31" s="150"/>
      <c r="N31" s="175"/>
      <c r="O31" s="176"/>
    </row>
    <row r="32" spans="1:17" ht="18" thickTop="1" thickBot="1">
      <c r="A32" s="181">
        <v>20</v>
      </c>
      <c r="B32" s="181"/>
      <c r="D32" s="180" t="str">
        <f t="shared" si="0"/>
        <v xml:space="preserve"> </v>
      </c>
      <c r="E32" s="184" t="str">
        <f t="shared" si="1"/>
        <v xml:space="preserve"> </v>
      </c>
      <c r="F32" s="149"/>
      <c r="G32" s="148"/>
      <c r="H32" s="148"/>
      <c r="I32" s="148"/>
      <c r="J32" s="150"/>
      <c r="K32" s="150"/>
      <c r="L32" s="150"/>
      <c r="M32" s="150"/>
      <c r="N32" s="175"/>
      <c r="O32" s="176"/>
    </row>
    <row r="33" spans="4:15" ht="18" thickTop="1" thickBot="1">
      <c r="D33" s="180" t="str">
        <f t="shared" si="0"/>
        <v xml:space="preserve"> </v>
      </c>
      <c r="E33" s="184" t="str">
        <f t="shared" si="1"/>
        <v xml:space="preserve"> </v>
      </c>
      <c r="F33" s="151"/>
      <c r="G33" s="148"/>
      <c r="H33" s="148"/>
      <c r="I33" s="148"/>
      <c r="J33" s="150"/>
      <c r="K33" s="150"/>
      <c r="L33" s="150"/>
      <c r="M33" s="150"/>
      <c r="N33" s="177"/>
      <c r="O33" s="178"/>
    </row>
    <row r="34" spans="4:15" ht="17.25" thickTop="1" thickBot="1">
      <c r="D34" s="182" t="s">
        <v>176</v>
      </c>
      <c r="E34" s="199" t="str">
        <f>ROUND(SUM(E14:E33),2)&amp; " KN"</f>
        <v>24870,64 KN</v>
      </c>
      <c r="F34" s="199" t="str">
        <f>SUM(F14:F33)&amp; " m"</f>
        <v>15,3 m</v>
      </c>
    </row>
    <row r="35" spans="4:15" ht="16.5" thickTop="1"/>
  </sheetData>
  <mergeCells count="10">
    <mergeCell ref="D7:E7"/>
    <mergeCell ref="H7:N7"/>
    <mergeCell ref="D2:O2"/>
    <mergeCell ref="N11:O12"/>
    <mergeCell ref="L11:M11"/>
    <mergeCell ref="J11:K11"/>
    <mergeCell ref="F7:G7"/>
    <mergeCell ref="L12:M12"/>
    <mergeCell ref="J12:K12"/>
    <mergeCell ref="H12:I12"/>
  </mergeCells>
  <dataValidations count="7">
    <dataValidation type="list" allowBlank="1" showInputMessage="1" showErrorMessage="1" sqref="F7">
      <formula1>"Sans remplissage en maçonnerie rigide,Avec remplissage en maçonnerie rigide"</formula1>
    </dataValidation>
    <dataValidation type="list" allowBlank="1" showInputMessage="1" showErrorMessage="1" sqref="O7">
      <formula1>"OUI,NON"</formula1>
    </dataValidation>
    <dataValidation type="list" allowBlank="1" showInputMessage="1" showErrorMessage="1" sqref="J6">
      <formula1>"6,7,10"</formula1>
    </dataValidation>
    <dataValidation type="list" allowBlank="1" showInputMessage="1" showErrorMessage="1" sqref="I6">
      <mc:AlternateContent xmlns:x12ac="http://schemas.microsoft.com/office/spreadsheetml/2011/1/ac" xmlns:mc="http://schemas.openxmlformats.org/markup-compatibility/2006">
        <mc:Choice Requires="x12ac">
          <x12ac:list>"0,050","0,075","0,085"</x12ac:list>
        </mc:Choice>
        <mc:Fallback>
          <formula1>"0,050,0,075,0,085"</formula1>
        </mc:Fallback>
      </mc:AlternateContent>
    </dataValidation>
    <dataValidation type="list" allowBlank="1" showInputMessage="1" showErrorMessage="1" sqref="F6">
      <formula1>'CALCUL RPA'!B30:B33</formula1>
    </dataValidation>
    <dataValidation type="list" allowBlank="1" showInputMessage="1" showErrorMessage="1" sqref="E6">
      <formula1>'CALCUL RPA'!C46:F46</formula1>
    </dataValidation>
    <dataValidation type="list" allowBlank="1" showInputMessage="1" showErrorMessage="1" sqref="D6">
      <formula1>'CALCUL RPA'!B17:B23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B1:Z105"/>
  <sheetViews>
    <sheetView topLeftCell="A57" zoomScale="80" zoomScaleNormal="80" workbookViewId="0">
      <selection activeCell="D73" sqref="D73"/>
    </sheetView>
  </sheetViews>
  <sheetFormatPr defaultColWidth="9.140625" defaultRowHeight="15.75"/>
  <cols>
    <col min="1" max="2" width="10.7109375" style="84" customWidth="1"/>
    <col min="3" max="3" width="20.5703125" style="84" bestFit="1" customWidth="1"/>
    <col min="4" max="4" width="10.5703125" style="84" bestFit="1" customWidth="1"/>
    <col min="5" max="5" width="10.5703125" style="84" customWidth="1"/>
    <col min="6" max="6" width="10.5703125" style="84" bestFit="1" customWidth="1"/>
    <col min="7" max="7" width="9.5703125" style="84" bestFit="1" customWidth="1"/>
    <col min="8" max="8" width="11.42578125" style="84" customWidth="1"/>
    <col min="9" max="9" width="8.5703125" style="84" bestFit="1" customWidth="1"/>
    <col min="10" max="10" width="10.42578125" style="84" customWidth="1"/>
    <col min="11" max="11" width="7.5703125" style="84" bestFit="1" customWidth="1"/>
    <col min="12" max="12" width="8.28515625" style="84" bestFit="1" customWidth="1"/>
    <col min="13" max="13" width="6.5703125" style="84" bestFit="1" customWidth="1"/>
    <col min="14" max="14" width="8.28515625" style="84" bestFit="1" customWidth="1"/>
    <col min="15" max="15" width="7.5703125" style="84" bestFit="1" customWidth="1"/>
    <col min="16" max="16" width="5.140625" style="84" customWidth="1"/>
    <col min="17" max="18" width="7.42578125" style="84" customWidth="1"/>
    <col min="19" max="21" width="8" style="84" customWidth="1"/>
    <col min="22" max="22" width="13.28515625" style="84" customWidth="1"/>
    <col min="23" max="23" width="9.140625" style="84"/>
    <col min="24" max="24" width="12.42578125" style="84" customWidth="1"/>
    <col min="25" max="26" width="6.5703125" style="84" bestFit="1" customWidth="1"/>
    <col min="27" max="16384" width="9.140625" style="84"/>
  </cols>
  <sheetData>
    <row r="1" spans="2:15" ht="16.5" thickBot="1"/>
    <row r="2" spans="2:15" ht="21" thickTop="1">
      <c r="B2" s="272" t="s">
        <v>111</v>
      </c>
      <c r="C2" s="273"/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4"/>
    </row>
    <row r="3" spans="2:15" ht="16.5" thickBot="1">
      <c r="B3" s="46" t="s">
        <v>151</v>
      </c>
      <c r="C3" s="216" t="s">
        <v>206</v>
      </c>
      <c r="D3" s="48" t="s">
        <v>242</v>
      </c>
      <c r="E3" s="49"/>
      <c r="F3" s="49"/>
      <c r="G3" s="275"/>
      <c r="H3" s="275"/>
      <c r="I3" s="275"/>
      <c r="J3" s="275"/>
      <c r="K3" s="275"/>
      <c r="L3" s="275"/>
      <c r="M3" s="275"/>
      <c r="N3" s="276"/>
    </row>
    <row r="4" spans="2:15" ht="16.5" thickTop="1"/>
    <row r="5" spans="2:15">
      <c r="B5" s="306" t="s">
        <v>47</v>
      </c>
      <c r="C5" s="317"/>
      <c r="D5" s="317"/>
      <c r="E5" s="317"/>
      <c r="F5" s="317"/>
      <c r="G5" s="317"/>
      <c r="H5" s="318"/>
    </row>
    <row r="7" spans="2:15">
      <c r="B7" s="94" t="s">
        <v>15</v>
      </c>
      <c r="C7" s="94" t="s">
        <v>7</v>
      </c>
      <c r="D7" s="94" t="s">
        <v>35</v>
      </c>
      <c r="E7" s="222" t="s">
        <v>120</v>
      </c>
      <c r="F7" s="222" t="s">
        <v>121</v>
      </c>
      <c r="G7" s="94" t="s">
        <v>42</v>
      </c>
      <c r="H7" s="222" t="s">
        <v>122</v>
      </c>
      <c r="I7" s="222" t="s">
        <v>123</v>
      </c>
      <c r="J7" s="94" t="s">
        <v>2</v>
      </c>
      <c r="K7" s="94" t="s">
        <v>18</v>
      </c>
      <c r="L7" s="94" t="s">
        <v>19</v>
      </c>
      <c r="M7" s="94" t="s">
        <v>36</v>
      </c>
      <c r="N7" s="313" t="s">
        <v>173</v>
      </c>
      <c r="O7" s="314"/>
    </row>
    <row r="8" spans="2:15">
      <c r="B8" s="95">
        <f>$G$19</f>
        <v>7.0000000000000007E-2</v>
      </c>
      <c r="C8" s="95">
        <f>$I$47</f>
        <v>1</v>
      </c>
      <c r="D8" s="95">
        <f>$L$34</f>
        <v>1</v>
      </c>
      <c r="E8" s="223">
        <f>Données!$G$6</f>
        <v>1.2</v>
      </c>
      <c r="F8" s="223">
        <f>Données!$H$6</f>
        <v>1.2</v>
      </c>
      <c r="G8" s="95">
        <f>MAX(E8,F8)</f>
        <v>1.2</v>
      </c>
      <c r="H8" s="223">
        <f>IF(N8= "OUI",3,C96)</f>
        <v>4.5</v>
      </c>
      <c r="I8" s="223">
        <f>IF(N8= "OUI",3,C99)</f>
        <v>4.5</v>
      </c>
      <c r="J8" s="95">
        <f>MIN(H8,I8)</f>
        <v>4.5</v>
      </c>
      <c r="K8" s="95">
        <f>'CALCUL RPA'!$L$35</f>
        <v>0.05</v>
      </c>
      <c r="L8" s="95">
        <f>'CALCUL RPA'!$L$36</f>
        <v>0.25</v>
      </c>
      <c r="M8" s="95">
        <f>'CALCUL RPA'!$L$37</f>
        <v>1.2</v>
      </c>
      <c r="N8" s="315" t="str">
        <f>Données!$O$7</f>
        <v>NON</v>
      </c>
      <c r="O8" s="316"/>
    </row>
    <row r="9" spans="2:15">
      <c r="M9" s="96"/>
    </row>
    <row r="10" spans="2:15" ht="15.75" customHeight="1">
      <c r="B10" s="312" t="s">
        <v>84</v>
      </c>
      <c r="C10" s="312"/>
      <c r="D10" s="312"/>
      <c r="E10" s="312"/>
      <c r="F10" s="312"/>
      <c r="G10" s="312"/>
      <c r="H10" s="312"/>
      <c r="I10" s="312"/>
      <c r="J10" s="312"/>
      <c r="K10" s="312"/>
      <c r="M10" s="96"/>
    </row>
    <row r="11" spans="2:15">
      <c r="B11" s="153" t="s">
        <v>5</v>
      </c>
      <c r="C11" s="303" t="str">
        <f>IF(N8= "OUI", "6- Système à ossature à noyau ou à effet de noyau ",H96)</f>
        <v>4- Système à contreventement mixte, équivalent à des voiles</v>
      </c>
      <c r="D11" s="304"/>
      <c r="E11" s="304"/>
      <c r="F11" s="304"/>
      <c r="G11" s="304"/>
      <c r="H11" s="304"/>
      <c r="I11" s="304"/>
      <c r="J11" s="304"/>
      <c r="K11" s="305"/>
      <c r="M11" s="96"/>
    </row>
    <row r="12" spans="2:15">
      <c r="B12" s="153" t="s">
        <v>6</v>
      </c>
      <c r="C12" s="303" t="str">
        <f>IF(N8= "OUI", "6- Système à ossature à noyau ou à effet de noyau ",H99)</f>
        <v>4- Système à contreventement mixte, équivalent à des voiles</v>
      </c>
      <c r="D12" s="304"/>
      <c r="E12" s="304"/>
      <c r="F12" s="304"/>
      <c r="G12" s="304"/>
      <c r="H12" s="304"/>
      <c r="I12" s="304"/>
      <c r="J12" s="304"/>
      <c r="K12" s="305"/>
      <c r="M12" s="96"/>
    </row>
    <row r="13" spans="2:15">
      <c r="M13" s="96"/>
    </row>
    <row r="14" spans="2:15">
      <c r="B14" s="306" t="s">
        <v>38</v>
      </c>
      <c r="C14" s="306"/>
      <c r="D14" s="306"/>
      <c r="E14" s="306"/>
      <c r="F14" s="306"/>
      <c r="G14" s="306"/>
      <c r="H14" s="306"/>
    </row>
    <row r="15" spans="2:15">
      <c r="B15" s="97"/>
      <c r="C15" s="97"/>
      <c r="D15" s="97"/>
      <c r="E15" s="97"/>
    </row>
    <row r="16" spans="2:15">
      <c r="B16" s="98" t="s">
        <v>43</v>
      </c>
      <c r="C16" s="98" t="s">
        <v>26</v>
      </c>
      <c r="D16" s="98" t="s">
        <v>15</v>
      </c>
    </row>
    <row r="17" spans="2:26">
      <c r="B17" s="99">
        <v>0</v>
      </c>
      <c r="C17" s="99" t="s">
        <v>27</v>
      </c>
      <c r="D17" s="100">
        <v>0</v>
      </c>
      <c r="F17" s="101"/>
      <c r="G17" s="101"/>
      <c r="H17" s="101"/>
      <c r="I17" s="101"/>
      <c r="J17" s="101"/>
      <c r="K17" s="102"/>
    </row>
    <row r="18" spans="2:26">
      <c r="B18" s="99" t="s">
        <v>7</v>
      </c>
      <c r="C18" s="99" t="s">
        <v>28</v>
      </c>
      <c r="D18" s="100">
        <v>7.0000000000000007E-2</v>
      </c>
    </row>
    <row r="19" spans="2:26">
      <c r="B19" s="99" t="s">
        <v>22</v>
      </c>
      <c r="C19" s="99" t="s">
        <v>29</v>
      </c>
      <c r="D19" s="100">
        <v>0.1</v>
      </c>
      <c r="F19" s="103" t="s">
        <v>15</v>
      </c>
      <c r="G19" s="104">
        <f>IF(Données!D6=B17,D17,IF(Données!D6=B18,D18,IF(Données!D6=B19,D19,IF(Données!D6=B20,D20,IF(Données!D6=B21,D21,IF(Données!D6=B22,D22,IF(Données!D6=B23,D23)))))))</f>
        <v>7.0000000000000007E-2</v>
      </c>
    </row>
    <row r="20" spans="2:26">
      <c r="B20" s="99" t="s">
        <v>8</v>
      </c>
      <c r="C20" s="99" t="s">
        <v>30</v>
      </c>
      <c r="D20" s="100">
        <v>0.15</v>
      </c>
    </row>
    <row r="21" spans="2:26">
      <c r="B21" s="99" t="s">
        <v>23</v>
      </c>
      <c r="C21" s="99" t="s">
        <v>31</v>
      </c>
      <c r="D21" s="100">
        <v>0.2</v>
      </c>
      <c r="N21" s="105"/>
      <c r="O21" s="105"/>
      <c r="P21" s="105"/>
      <c r="Q21" s="105"/>
    </row>
    <row r="22" spans="2:26">
      <c r="B22" s="99" t="s">
        <v>24</v>
      </c>
      <c r="C22" s="99" t="s">
        <v>32</v>
      </c>
      <c r="D22" s="100">
        <v>0.25</v>
      </c>
      <c r="N22" s="105"/>
      <c r="O22" s="106"/>
      <c r="P22" s="106"/>
      <c r="Q22" s="105"/>
    </row>
    <row r="23" spans="2:26">
      <c r="B23" s="99" t="s">
        <v>25</v>
      </c>
      <c r="C23" s="99" t="s">
        <v>32</v>
      </c>
      <c r="D23" s="100">
        <v>0.3</v>
      </c>
      <c r="N23" s="105"/>
      <c r="O23" s="105"/>
      <c r="P23" s="107"/>
      <c r="Q23" s="105"/>
    </row>
    <row r="24" spans="2:26">
      <c r="N24" s="105"/>
      <c r="O24" s="106"/>
      <c r="P24" s="106"/>
      <c r="Q24" s="105"/>
    </row>
    <row r="25" spans="2:26" ht="16.5">
      <c r="B25" s="280" t="s">
        <v>240</v>
      </c>
      <c r="C25" s="281"/>
      <c r="D25" s="281"/>
      <c r="E25" s="281"/>
      <c r="F25" s="281"/>
      <c r="G25" s="281"/>
      <c r="H25" s="281"/>
      <c r="I25" s="281"/>
      <c r="J25" s="282"/>
      <c r="N25" s="105"/>
      <c r="O25" s="280" t="s">
        <v>231</v>
      </c>
      <c r="P25" s="281"/>
      <c r="Q25" s="281"/>
      <c r="R25" s="281"/>
      <c r="S25" s="281"/>
      <c r="T25" s="281"/>
      <c r="U25" s="281"/>
      <c r="V25" s="281"/>
      <c r="W25" s="281"/>
      <c r="X25" s="281"/>
      <c r="Y25" s="282"/>
      <c r="Z25" s="235"/>
    </row>
    <row r="26" spans="2:26" ht="16.5">
      <c r="N26" s="105"/>
      <c r="O26" s="236"/>
      <c r="P26" s="15"/>
      <c r="Q26" s="17"/>
      <c r="R26" s="15"/>
      <c r="S26" s="15"/>
      <c r="T26" s="15"/>
      <c r="U26" s="15"/>
      <c r="V26" s="15"/>
      <c r="W26" s="15"/>
      <c r="X26" s="15"/>
      <c r="Y26" s="15"/>
      <c r="Z26" s="237"/>
    </row>
    <row r="27" spans="2:26" ht="15" customHeight="1">
      <c r="B27" s="306" t="s">
        <v>34</v>
      </c>
      <c r="C27" s="306"/>
      <c r="D27" s="306"/>
      <c r="E27" s="306"/>
      <c r="F27" s="306"/>
      <c r="G27" s="306"/>
      <c r="H27" s="306"/>
      <c r="N27" s="105"/>
      <c r="O27" s="269" t="s">
        <v>34</v>
      </c>
      <c r="P27" s="270"/>
      <c r="Q27" s="270"/>
      <c r="R27" s="270"/>
      <c r="S27" s="270"/>
      <c r="T27" s="270"/>
      <c r="U27" s="270"/>
      <c r="V27" s="270"/>
      <c r="W27" s="270"/>
      <c r="X27" s="271"/>
      <c r="Y27" s="15"/>
      <c r="Z27" s="237"/>
    </row>
    <row r="28" spans="2:26" ht="16.5">
      <c r="N28" s="105"/>
      <c r="O28" s="236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237"/>
    </row>
    <row r="29" spans="2:26" ht="16.5">
      <c r="B29" s="98" t="s">
        <v>33</v>
      </c>
      <c r="C29" s="98" t="s">
        <v>35</v>
      </c>
      <c r="D29" s="98" t="s">
        <v>18</v>
      </c>
      <c r="E29" s="98" t="s">
        <v>19</v>
      </c>
      <c r="F29" s="98" t="s">
        <v>36</v>
      </c>
      <c r="O29" s="22" t="s">
        <v>33</v>
      </c>
      <c r="P29" s="22" t="s">
        <v>232</v>
      </c>
      <c r="Q29" s="22" t="s">
        <v>18</v>
      </c>
      <c r="R29" s="22" t="s">
        <v>19</v>
      </c>
      <c r="S29" s="22" t="s">
        <v>36</v>
      </c>
      <c r="T29" s="22" t="s">
        <v>235</v>
      </c>
      <c r="U29" s="15"/>
      <c r="V29" s="22" t="s">
        <v>233</v>
      </c>
      <c r="W29" s="28">
        <f>G19*0.9</f>
        <v>6.3000000000000014E-2</v>
      </c>
      <c r="X29" s="15"/>
      <c r="Y29" s="15"/>
      <c r="Z29" s="237"/>
    </row>
    <row r="30" spans="2:26" ht="16.5">
      <c r="B30" s="99" t="s">
        <v>11</v>
      </c>
      <c r="C30" s="99">
        <v>1</v>
      </c>
      <c r="D30" s="100">
        <v>0.1</v>
      </c>
      <c r="E30" s="100">
        <v>0.4</v>
      </c>
      <c r="F30" s="100">
        <v>2</v>
      </c>
      <c r="H30" s="98" t="s">
        <v>35</v>
      </c>
      <c r="I30" s="108">
        <f>IF(Données!F6='CALCUL RPA'!B30,'CALCUL RPA'!C30,IF(Données!F6='CALCUL RPA'!B31,'CALCUL RPA'!C31,IF(Données!F6='CALCUL RPA'!B32,'CALCUL RPA'!C32,'CALCUL RPA'!C33)))</f>
        <v>1</v>
      </c>
      <c r="J30" s="109"/>
      <c r="O30" s="23" t="s">
        <v>11</v>
      </c>
      <c r="P30" s="24">
        <v>0.9</v>
      </c>
      <c r="Q30" s="24">
        <v>0.05</v>
      </c>
      <c r="R30" s="24">
        <v>0.2</v>
      </c>
      <c r="S30" s="24">
        <v>1</v>
      </c>
      <c r="T30" s="24">
        <v>0.6</v>
      </c>
      <c r="U30" s="15"/>
      <c r="V30" s="22" t="s">
        <v>18</v>
      </c>
      <c r="W30" s="28">
        <f>0.05</f>
        <v>0.05</v>
      </c>
      <c r="X30" s="29"/>
      <c r="Y30" s="15"/>
      <c r="Z30" s="237"/>
    </row>
    <row r="31" spans="2:26" ht="16.5">
      <c r="B31" s="99" t="s">
        <v>12</v>
      </c>
      <c r="C31" s="99">
        <v>1.2</v>
      </c>
      <c r="D31" s="100">
        <v>0.1</v>
      </c>
      <c r="E31" s="100">
        <v>0.5</v>
      </c>
      <c r="F31" s="100">
        <v>2</v>
      </c>
      <c r="H31" s="98" t="s">
        <v>18</v>
      </c>
      <c r="I31" s="108">
        <f>IF(Données!F6='CALCUL RPA'!B30,D30,IF(Données!F6='CALCUL RPA'!B31,D31,IF(Données!F6='CALCUL RPA'!B32,D32,D33)))</f>
        <v>0.1</v>
      </c>
      <c r="J31" s="109"/>
      <c r="O31" s="23" t="s">
        <v>12</v>
      </c>
      <c r="P31" s="24">
        <v>0.9</v>
      </c>
      <c r="Q31" s="24">
        <v>0.05</v>
      </c>
      <c r="R31" s="24">
        <v>0.3</v>
      </c>
      <c r="S31" s="24">
        <v>1</v>
      </c>
      <c r="T31" s="24">
        <v>0.6</v>
      </c>
      <c r="U31" s="15"/>
      <c r="V31" s="22" t="s">
        <v>19</v>
      </c>
      <c r="W31" s="28">
        <f>IF(Données!F6=B30,R30,IF(Données!F6=B31,R31,IF(Données!F6=B32,R32,R33)))</f>
        <v>0.2</v>
      </c>
      <c r="X31" s="29"/>
      <c r="Y31" s="15"/>
      <c r="Z31" s="237"/>
    </row>
    <row r="32" spans="2:26" ht="16.5">
      <c r="B32" s="99" t="s">
        <v>13</v>
      </c>
      <c r="C32" s="99">
        <v>1.3</v>
      </c>
      <c r="D32" s="100">
        <v>0.15</v>
      </c>
      <c r="E32" s="100">
        <v>0.6</v>
      </c>
      <c r="F32" s="100">
        <v>2</v>
      </c>
      <c r="H32" s="98" t="s">
        <v>19</v>
      </c>
      <c r="I32" s="108">
        <f>IF(Données!F6='CALCUL RPA'!B30,E30,IF(Données!F6='CALCUL RPA'!B31,E31,IF(Données!F6='CALCUL RPA'!B32,E32,E33)))</f>
        <v>0.4</v>
      </c>
      <c r="J32" s="109"/>
      <c r="O32" s="23" t="s">
        <v>13</v>
      </c>
      <c r="P32" s="24">
        <v>0.9</v>
      </c>
      <c r="Q32" s="24">
        <v>0.05</v>
      </c>
      <c r="R32" s="24">
        <v>0.4</v>
      </c>
      <c r="S32" s="24">
        <v>1</v>
      </c>
      <c r="T32" s="24">
        <v>0.6</v>
      </c>
      <c r="U32" s="15"/>
      <c r="V32" s="22" t="s">
        <v>36</v>
      </c>
      <c r="W32" s="28">
        <f>1</f>
        <v>1</v>
      </c>
      <c r="X32" s="29"/>
      <c r="Y32" s="15"/>
      <c r="Z32" s="237"/>
    </row>
    <row r="33" spans="2:26" ht="16.5">
      <c r="B33" s="99" t="s">
        <v>14</v>
      </c>
      <c r="C33" s="99">
        <v>1.35</v>
      </c>
      <c r="D33" s="100">
        <v>0.15</v>
      </c>
      <c r="E33" s="100">
        <v>0.7</v>
      </c>
      <c r="F33" s="100">
        <v>2</v>
      </c>
      <c r="H33" s="98" t="s">
        <v>36</v>
      </c>
      <c r="I33" s="108">
        <f>IF(Données!F6='CALCUL RPA'!B30,F30,IF(Données!F6='CALCUL RPA'!B31,F31,IF(Données!F6='CALCUL RPA'!B32,F32,F33)))</f>
        <v>2</v>
      </c>
      <c r="J33" s="109"/>
      <c r="O33" s="23" t="s">
        <v>14</v>
      </c>
      <c r="P33" s="24">
        <v>0.9</v>
      </c>
      <c r="Q33" s="24">
        <v>0.05</v>
      </c>
      <c r="R33" s="24">
        <v>0.5</v>
      </c>
      <c r="S33" s="24">
        <v>1</v>
      </c>
      <c r="T33" s="24">
        <v>0.6</v>
      </c>
      <c r="U33" s="15"/>
      <c r="V33" s="22" t="s">
        <v>235</v>
      </c>
      <c r="W33" s="28">
        <f>0.6</f>
        <v>0.6</v>
      </c>
      <c r="X33" s="29"/>
      <c r="Y33" s="22" t="s">
        <v>233</v>
      </c>
      <c r="Z33" s="241">
        <f>IF(OR(Données!D6=B18,Données!D6=B19,Données!D6=B20),W37,IF(OR(Données!D6=B21,Données!D6=B22,Données!D6=B23),W29,0))</f>
        <v>3.8500000000000006E-2</v>
      </c>
    </row>
    <row r="34" spans="2:26" ht="16.5">
      <c r="K34" s="98" t="s">
        <v>35</v>
      </c>
      <c r="L34" s="108">
        <f>IF(OR(Données!D6=B18,Données!D6=B19,Données!D6=B20),I38,IF(OR(Données!D6=B21,Données!D6=B22,Données!D6=B23),I30,0))</f>
        <v>1</v>
      </c>
      <c r="O34" s="236"/>
      <c r="P34" s="15"/>
      <c r="Q34" s="15"/>
      <c r="R34" s="15"/>
      <c r="S34" s="15"/>
      <c r="T34" s="15"/>
      <c r="U34" s="15"/>
      <c r="V34" s="15"/>
      <c r="W34" s="15"/>
      <c r="X34" s="15"/>
      <c r="Y34" s="22" t="s">
        <v>18</v>
      </c>
      <c r="Z34" s="241">
        <f>IF(OR(Données!D6=B18,Données!D6=B19,Données!D6=B20),W38,IF(OR(Données!D6=B21,Données!D6=B22,Données!D6=B23),W30,0))</f>
        <v>0.05</v>
      </c>
    </row>
    <row r="35" spans="2:26" ht="15.75" customHeight="1">
      <c r="B35" s="306" t="s">
        <v>37</v>
      </c>
      <c r="C35" s="306"/>
      <c r="D35" s="306"/>
      <c r="E35" s="306"/>
      <c r="F35" s="306"/>
      <c r="G35" s="306"/>
      <c r="H35" s="306"/>
      <c r="K35" s="98" t="s">
        <v>18</v>
      </c>
      <c r="L35" s="108">
        <f>IF(OR(Données!D6=B18,Données!D6=B19,Données!D6=B20),I39,IF(OR(Données!D6=B21,Données!D6=B22,Données!D6=B23),I31,0))</f>
        <v>0.05</v>
      </c>
      <c r="O35" s="269" t="s">
        <v>37</v>
      </c>
      <c r="P35" s="270"/>
      <c r="Q35" s="270"/>
      <c r="R35" s="270"/>
      <c r="S35" s="270"/>
      <c r="T35" s="270"/>
      <c r="U35" s="270"/>
      <c r="V35" s="270"/>
      <c r="W35" s="270"/>
      <c r="X35" s="271"/>
      <c r="Y35" s="22" t="s">
        <v>19</v>
      </c>
      <c r="Z35" s="241">
        <f>IF(OR(Données!D6=B18,Données!D6=B19,Données!D6=B20),W39,IF(OR(Données!D6=B21,Données!D6=B22,Données!D6=B23),W31,0))</f>
        <v>0.15</v>
      </c>
    </row>
    <row r="36" spans="2:26" ht="16.5">
      <c r="K36" s="98" t="s">
        <v>19</v>
      </c>
      <c r="L36" s="108">
        <f>IF(OR(Données!D6=B18,Données!D6=B19,Données!D6=B20),I40,IF(OR(Données!D6=B21,Données!D6=B22,Données!D6=B23),I32,0))</f>
        <v>0.25</v>
      </c>
      <c r="O36" s="236"/>
      <c r="P36" s="15"/>
      <c r="Q36" s="15"/>
      <c r="R36" s="15"/>
      <c r="S36" s="15"/>
      <c r="T36" s="15"/>
      <c r="U36" s="15"/>
      <c r="V36" s="15"/>
      <c r="W36" s="15"/>
      <c r="X36" s="15"/>
      <c r="Y36" s="22" t="s">
        <v>36</v>
      </c>
      <c r="Z36" s="241">
        <f>IF(OR(Données!D6=B18,Données!D6=B19,Données!D6=B20),W40,IF(OR(Données!D6=B21,Données!D6=B22,Données!D6=B23),W32,0))</f>
        <v>1</v>
      </c>
    </row>
    <row r="37" spans="2:26" ht="16.5">
      <c r="B37" s="98" t="s">
        <v>33</v>
      </c>
      <c r="C37" s="98" t="s">
        <v>35</v>
      </c>
      <c r="D37" s="98" t="s">
        <v>18</v>
      </c>
      <c r="E37" s="98" t="s">
        <v>19</v>
      </c>
      <c r="F37" s="98" t="s">
        <v>36</v>
      </c>
      <c r="K37" s="98" t="s">
        <v>36</v>
      </c>
      <c r="L37" s="108">
        <f>IF(OR(Données!D6=B18,Données!D6=B19,Données!D6=B20),I41,IF(OR(Données!D6=B21,Données!D6=B22,Données!D6=B23),I33,0))</f>
        <v>1.2</v>
      </c>
      <c r="O37" s="22" t="s">
        <v>33</v>
      </c>
      <c r="P37" s="22" t="s">
        <v>232</v>
      </c>
      <c r="Q37" s="22" t="s">
        <v>18</v>
      </c>
      <c r="R37" s="22" t="s">
        <v>19</v>
      </c>
      <c r="S37" s="22" t="s">
        <v>36</v>
      </c>
      <c r="T37" s="22" t="s">
        <v>235</v>
      </c>
      <c r="U37" s="15"/>
      <c r="V37" s="22" t="s">
        <v>233</v>
      </c>
      <c r="W37" s="28">
        <f>G19*0.55</f>
        <v>3.8500000000000006E-2</v>
      </c>
      <c r="X37" s="15"/>
      <c r="Y37" s="22" t="s">
        <v>235</v>
      </c>
      <c r="Z37" s="241">
        <f>IF(OR(Données!D6=B18,Données!D6=B19,Données!D6=B20),W41,IF(OR(Données!D6=B21,Données!D6=B22,Données!D6=B23),W33,0))</f>
        <v>0.8</v>
      </c>
    </row>
    <row r="38" spans="2:26" ht="16.5">
      <c r="B38" s="99" t="s">
        <v>11</v>
      </c>
      <c r="C38" s="99">
        <v>1</v>
      </c>
      <c r="D38" s="100">
        <v>0.05</v>
      </c>
      <c r="E38" s="100">
        <v>0.25</v>
      </c>
      <c r="F38" s="100">
        <v>1.2</v>
      </c>
      <c r="H38" s="98" t="s">
        <v>35</v>
      </c>
      <c r="I38" s="108">
        <f>IF(Données!F6='CALCUL RPA'!B38,'CALCUL RPA'!C38,IF(Données!F6='CALCUL RPA'!B39,'CALCUL RPA'!C39,IF(Données!F6='CALCUL RPA'!B40,'CALCUL RPA'!C40,'CALCUL RPA'!C41)))</f>
        <v>1</v>
      </c>
      <c r="J38" s="109"/>
      <c r="O38" s="23" t="s">
        <v>11</v>
      </c>
      <c r="P38" s="24">
        <v>0.55000000000000004</v>
      </c>
      <c r="Q38" s="24">
        <v>0.05</v>
      </c>
      <c r="R38" s="24">
        <v>0.15</v>
      </c>
      <c r="S38" s="24">
        <v>1</v>
      </c>
      <c r="T38" s="24">
        <v>0.8</v>
      </c>
      <c r="U38" s="15"/>
      <c r="V38" s="22" t="s">
        <v>18</v>
      </c>
      <c r="W38" s="28">
        <v>0.05</v>
      </c>
      <c r="X38" s="29"/>
      <c r="Y38" s="15"/>
      <c r="Z38" s="237"/>
    </row>
    <row r="39" spans="2:26" ht="16.5">
      <c r="B39" s="99" t="s">
        <v>12</v>
      </c>
      <c r="C39" s="99">
        <v>1.3</v>
      </c>
      <c r="D39" s="100">
        <v>0.05</v>
      </c>
      <c r="E39" s="100">
        <v>0.3</v>
      </c>
      <c r="F39" s="100">
        <v>1.2</v>
      </c>
      <c r="H39" s="98" t="s">
        <v>18</v>
      </c>
      <c r="I39" s="108">
        <f>IF(Données!F6='CALCUL RPA'!B38,D38,IF(Données!F6='CALCUL RPA'!B39,D39,IF(Données!F6='CALCUL RPA'!B40,D40,D41)))</f>
        <v>0.05</v>
      </c>
      <c r="J39" s="109"/>
      <c r="O39" s="23" t="s">
        <v>12</v>
      </c>
      <c r="P39" s="24">
        <v>0.55000000000000004</v>
      </c>
      <c r="Q39" s="24">
        <v>0.05</v>
      </c>
      <c r="R39" s="24">
        <v>0.2</v>
      </c>
      <c r="S39" s="24">
        <v>1</v>
      </c>
      <c r="T39" s="24">
        <v>0.8</v>
      </c>
      <c r="U39" s="15"/>
      <c r="V39" s="22" t="s">
        <v>19</v>
      </c>
      <c r="W39" s="28">
        <f>IF(Données!F6=B30,R38,IF(Données!F6=B31,R39,IF(Données!F6=B32,R40,R41)))</f>
        <v>0.15</v>
      </c>
      <c r="X39" s="29"/>
      <c r="Y39" s="15"/>
      <c r="Z39" s="237"/>
    </row>
    <row r="40" spans="2:26" ht="16.5">
      <c r="B40" s="99" t="s">
        <v>13</v>
      </c>
      <c r="C40" s="99">
        <v>1.55</v>
      </c>
      <c r="D40" s="100">
        <v>0.1</v>
      </c>
      <c r="E40" s="100">
        <v>0.4</v>
      </c>
      <c r="F40" s="100">
        <v>1.2</v>
      </c>
      <c r="H40" s="98" t="s">
        <v>19</v>
      </c>
      <c r="I40" s="108">
        <f>IF(Données!F6='CALCUL RPA'!B38,E38,IF(Données!F6='CALCUL RPA'!B39,E39,IF(Données!F6='CALCUL RPA'!B40,E40,E41)))</f>
        <v>0.25</v>
      </c>
      <c r="J40" s="109"/>
      <c r="O40" s="23" t="s">
        <v>13</v>
      </c>
      <c r="P40" s="24">
        <v>0.55000000000000004</v>
      </c>
      <c r="Q40" s="24">
        <v>0.05</v>
      </c>
      <c r="R40" s="24">
        <v>0.25</v>
      </c>
      <c r="S40" s="24">
        <v>1</v>
      </c>
      <c r="T40" s="24">
        <v>0.8</v>
      </c>
      <c r="U40" s="15"/>
      <c r="V40" s="22" t="s">
        <v>36</v>
      </c>
      <c r="W40" s="28">
        <f>1</f>
        <v>1</v>
      </c>
      <c r="X40" s="29"/>
      <c r="Y40" s="15"/>
      <c r="Z40" s="237"/>
    </row>
    <row r="41" spans="2:26" ht="16.5">
      <c r="B41" s="99" t="s">
        <v>14</v>
      </c>
      <c r="C41" s="99">
        <v>1.8</v>
      </c>
      <c r="D41" s="100">
        <v>0.1</v>
      </c>
      <c r="E41" s="100">
        <v>0.5</v>
      </c>
      <c r="F41" s="100">
        <v>1.2</v>
      </c>
      <c r="H41" s="98" t="s">
        <v>36</v>
      </c>
      <c r="I41" s="108">
        <f>IF(Données!F6='CALCUL RPA'!B38,F38,IF(Données!F6='CALCUL RPA'!B39,F39,IF(Données!F6='CALCUL RPA'!B40,F40,F41)))</f>
        <v>1.2</v>
      </c>
      <c r="J41" s="109"/>
      <c r="O41" s="23" t="s">
        <v>14</v>
      </c>
      <c r="P41" s="24">
        <v>0.55000000000000004</v>
      </c>
      <c r="Q41" s="24">
        <v>0.05</v>
      </c>
      <c r="R41" s="24">
        <v>0.3</v>
      </c>
      <c r="S41" s="24">
        <v>1</v>
      </c>
      <c r="T41" s="24">
        <v>0.8</v>
      </c>
      <c r="U41" s="238"/>
      <c r="V41" s="22" t="s">
        <v>235</v>
      </c>
      <c r="W41" s="28">
        <f>0.8</f>
        <v>0.8</v>
      </c>
      <c r="X41" s="239"/>
      <c r="Y41" s="238"/>
      <c r="Z41" s="240"/>
    </row>
    <row r="44" spans="2:26" ht="15" customHeight="1">
      <c r="B44" s="306" t="s">
        <v>39</v>
      </c>
      <c r="C44" s="306"/>
      <c r="D44" s="306"/>
      <c r="E44" s="306"/>
      <c r="F44" s="306"/>
      <c r="G44" s="306"/>
      <c r="H44" s="306"/>
    </row>
    <row r="46" spans="2:26">
      <c r="B46" s="98" t="s">
        <v>40</v>
      </c>
      <c r="C46" s="98" t="s">
        <v>9</v>
      </c>
      <c r="D46" s="98" t="s">
        <v>10</v>
      </c>
      <c r="E46" s="98">
        <v>2</v>
      </c>
      <c r="F46" s="98">
        <v>3</v>
      </c>
    </row>
    <row r="47" spans="2:26">
      <c r="B47" s="99" t="s">
        <v>7</v>
      </c>
      <c r="C47" s="99">
        <v>1.4</v>
      </c>
      <c r="D47" s="100">
        <v>1.2</v>
      </c>
      <c r="E47" s="100">
        <v>1</v>
      </c>
      <c r="F47" s="100">
        <v>0.8</v>
      </c>
      <c r="H47" s="103" t="s">
        <v>7</v>
      </c>
      <c r="I47" s="104">
        <f>IF(Données!E6='CALCUL RPA'!C46,'CALCUL RPA'!C47,IF(Données!E6='CALCUL RPA'!D46,'CALCUL RPA'!D47,IF(Données!E6='CALCUL RPA'!E46,'CALCUL RPA'!E47,'CALCUL RPA'!F47)))</f>
        <v>1</v>
      </c>
      <c r="J47" s="110"/>
    </row>
    <row r="50" spans="2:10">
      <c r="B50" s="306" t="s">
        <v>45</v>
      </c>
      <c r="C50" s="306"/>
      <c r="D50" s="306"/>
      <c r="E50" s="306"/>
      <c r="F50" s="306"/>
      <c r="G50" s="306"/>
      <c r="H50" s="306"/>
    </row>
    <row r="52" spans="2:10">
      <c r="B52" s="309" t="s">
        <v>17</v>
      </c>
      <c r="C52" s="309"/>
    </row>
    <row r="53" spans="2:10">
      <c r="B53" s="310">
        <f>SUM(Données!F14:F33)</f>
        <v>15.3</v>
      </c>
      <c r="C53" s="311"/>
    </row>
    <row r="55" spans="2:10">
      <c r="B55" s="297" t="s">
        <v>134</v>
      </c>
      <c r="C55" s="297"/>
      <c r="D55" s="95">
        <f>ROUND(Données!I6*'CALCUL RPA'!B53^0.75,3)</f>
        <v>0.38700000000000001</v>
      </c>
      <c r="E55" s="145" t="s">
        <v>139</v>
      </c>
      <c r="F55" s="95">
        <f>ROUND(D55*1.3,2)</f>
        <v>0.5</v>
      </c>
      <c r="H55" s="103" t="s">
        <v>135</v>
      </c>
      <c r="I55" s="95">
        <f>IF(Données!L6&lt;F55,Données!L6,F55)</f>
        <v>0.5</v>
      </c>
      <c r="J55" s="111"/>
    </row>
    <row r="56" spans="2:10">
      <c r="H56" s="103" t="s">
        <v>136</v>
      </c>
      <c r="I56" s="95">
        <f>IF(Données!M6&lt;F55,Données!M6,F55)</f>
        <v>0.5</v>
      </c>
      <c r="J56" s="111"/>
    </row>
    <row r="58" spans="2:10">
      <c r="B58" s="306" t="s">
        <v>44</v>
      </c>
      <c r="C58" s="306"/>
      <c r="D58" s="306"/>
      <c r="E58" s="306"/>
      <c r="F58" s="306"/>
      <c r="G58" s="306"/>
      <c r="H58" s="306"/>
    </row>
    <row r="60" spans="2:10">
      <c r="B60" s="297" t="s">
        <v>71</v>
      </c>
      <c r="C60" s="297"/>
      <c r="D60" s="95">
        <f>IF(AND(I55&lt;=2*$L$36,Données!K6&gt;2),0.85,1)</f>
        <v>0.85</v>
      </c>
    </row>
    <row r="61" spans="2:10">
      <c r="B61" s="297" t="s">
        <v>72</v>
      </c>
      <c r="C61" s="297"/>
      <c r="D61" s="95">
        <f>IF(AND(I56&lt;=2*$L$36,Données!K6&gt;2),0.85,1)</f>
        <v>0.85</v>
      </c>
    </row>
    <row r="63" spans="2:10">
      <c r="B63" s="306" t="s">
        <v>46</v>
      </c>
      <c r="C63" s="306"/>
      <c r="D63" s="306"/>
      <c r="E63" s="306"/>
      <c r="F63" s="306"/>
      <c r="G63" s="306"/>
      <c r="H63" s="306"/>
    </row>
    <row r="65" spans="2:18">
      <c r="B65" s="297" t="s">
        <v>137</v>
      </c>
      <c r="C65" s="297"/>
      <c r="D65" s="143">
        <f t="array" ref="D65">ROUND(IF(J8=0,"ERROR",INDEX('SPECTRE Hxy'!N9:N409,MATCH(I55,'SPECTRE Hxy'!M9:M409,1))),3)</f>
        <v>2.3E-2</v>
      </c>
      <c r="E65" s="144"/>
      <c r="F65" s="112"/>
    </row>
    <row r="66" spans="2:18">
      <c r="B66" s="297" t="s">
        <v>138</v>
      </c>
      <c r="C66" s="297"/>
      <c r="D66" s="143">
        <f t="array" ref="D66">ROUND(IF(J8=0,"ERROR",INDEX('SPECTRE Hxy'!N9:N409,MATCH(I56,'SPECTRE Hxy'!M9:M409,1))),3)</f>
        <v>2.3E-2</v>
      </c>
      <c r="E66" s="144"/>
    </row>
    <row r="68" spans="2:18">
      <c r="B68" s="306" t="s">
        <v>48</v>
      </c>
      <c r="C68" s="306"/>
      <c r="D68" s="306"/>
      <c r="E68" s="306"/>
      <c r="F68" s="306"/>
      <c r="G68" s="306"/>
      <c r="H68" s="306"/>
    </row>
    <row r="70" spans="2:18">
      <c r="B70" s="309" t="s">
        <v>124</v>
      </c>
      <c r="C70" s="309"/>
    </row>
    <row r="71" spans="2:18">
      <c r="B71" s="310">
        <f>Données!$G$14</f>
        <v>24870.639999999999</v>
      </c>
      <c r="C71" s="311"/>
    </row>
    <row r="73" spans="2:18">
      <c r="B73" s="297" t="s">
        <v>73</v>
      </c>
      <c r="C73" s="297"/>
      <c r="D73" s="95">
        <f t="array" ref="D73">ROUND(IF(H8=0,"ERROR",D60*D65*'CALCUL RPA'!B71),2)</f>
        <v>486.22</v>
      </c>
    </row>
    <row r="74" spans="2:18">
      <c r="B74" s="297" t="s">
        <v>74</v>
      </c>
      <c r="C74" s="297"/>
      <c r="D74" s="95">
        <f t="array" ref="D74">ROUND(IF(H8=0,"ERROR",D61*D66*'CALCUL RPA'!B71),2)</f>
        <v>486.22</v>
      </c>
    </row>
    <row r="76" spans="2:18">
      <c r="B76" s="306" t="s">
        <v>49</v>
      </c>
      <c r="C76" s="306"/>
      <c r="D76" s="306"/>
      <c r="E76" s="306"/>
      <c r="F76" s="306"/>
      <c r="G76" s="306"/>
      <c r="H76" s="306"/>
      <c r="P76" s="321"/>
      <c r="Q76" s="321"/>
      <c r="R76" s="321"/>
    </row>
    <row r="77" spans="2:18" ht="16.5" thickBot="1"/>
    <row r="78" spans="2:18">
      <c r="B78" s="322" t="s">
        <v>82</v>
      </c>
      <c r="C78" s="323"/>
      <c r="D78" s="323" t="s">
        <v>83</v>
      </c>
      <c r="E78" s="324"/>
    </row>
    <row r="79" spans="2:18" ht="16.5" thickBot="1">
      <c r="B79" s="113" t="s">
        <v>59</v>
      </c>
      <c r="C79" s="99" t="s">
        <v>60</v>
      </c>
      <c r="D79" s="99" t="s">
        <v>59</v>
      </c>
      <c r="E79" s="114" t="s">
        <v>60</v>
      </c>
    </row>
    <row r="80" spans="2:18" ht="16.5" thickBot="1">
      <c r="B80" s="115">
        <f>IF(Données!J14=0,0,Données!J14/(Données!J14+Données!L14))</f>
        <v>0.58013212071851961</v>
      </c>
      <c r="C80" s="116">
        <f>IF(Données!L14=0,0,Données!L14/(Données!L14+Données!J14))</f>
        <v>0.4198678792814805</v>
      </c>
      <c r="D80" s="116">
        <f>IF(Données!K14=0,0,Données!K14/(Données!K14+Données!M14))</f>
        <v>0.52226931855233127</v>
      </c>
      <c r="E80" s="117">
        <f>IF(Données!M14=0,0,Données!M14/(Données!M14+Données!K14))</f>
        <v>0.47773068144766873</v>
      </c>
      <c r="F80" s="118">
        <f>SUM(B80:E80)</f>
        <v>2</v>
      </c>
    </row>
    <row r="81" spans="2:24" ht="16.5" thickBot="1">
      <c r="B81" s="325" t="str">
        <f>Données!F7</f>
        <v>Sans remplissage en maçonnerie rigide</v>
      </c>
      <c r="C81" s="326"/>
      <c r="D81" s="326"/>
      <c r="E81" s="327"/>
    </row>
    <row r="83" spans="2:24">
      <c r="K83" s="300" t="s">
        <v>58</v>
      </c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01"/>
    </row>
    <row r="84" spans="2:24">
      <c r="I84" s="119"/>
      <c r="J84" s="119"/>
      <c r="K84" s="300" t="s">
        <v>61</v>
      </c>
      <c r="L84" s="301"/>
      <c r="M84" s="307" t="s">
        <v>62</v>
      </c>
      <c r="N84" s="308"/>
      <c r="O84" s="307" t="s">
        <v>63</v>
      </c>
      <c r="P84" s="308"/>
      <c r="Q84" s="307" t="s">
        <v>64</v>
      </c>
      <c r="R84" s="308"/>
      <c r="S84" s="265" t="s">
        <v>65</v>
      </c>
      <c r="T84" s="265"/>
      <c r="U84" s="265"/>
      <c r="V84" s="265"/>
      <c r="W84" s="265" t="s">
        <v>122</v>
      </c>
      <c r="X84" s="265" t="s">
        <v>123</v>
      </c>
    </row>
    <row r="85" spans="2:24">
      <c r="I85" s="99" t="s">
        <v>2</v>
      </c>
      <c r="J85" s="99" t="s">
        <v>87</v>
      </c>
      <c r="K85" s="99" t="s">
        <v>68</v>
      </c>
      <c r="L85" s="99" t="s">
        <v>69</v>
      </c>
      <c r="M85" s="99" t="s">
        <v>68</v>
      </c>
      <c r="N85" s="99" t="s">
        <v>69</v>
      </c>
      <c r="O85" s="99" t="s">
        <v>68</v>
      </c>
      <c r="P85" s="99" t="s">
        <v>69</v>
      </c>
      <c r="Q85" s="99" t="s">
        <v>68</v>
      </c>
      <c r="R85" s="99" t="s">
        <v>69</v>
      </c>
      <c r="S85" s="265"/>
      <c r="T85" s="265"/>
      <c r="U85" s="265"/>
      <c r="V85" s="265"/>
      <c r="W85" s="265"/>
      <c r="X85" s="265"/>
    </row>
    <row r="86" spans="2:24">
      <c r="B86" s="302" t="s">
        <v>52</v>
      </c>
      <c r="C86" s="302"/>
      <c r="D86" s="302"/>
      <c r="E86" s="302"/>
      <c r="F86" s="302"/>
      <c r="G86" s="302"/>
      <c r="H86" s="302"/>
      <c r="I86" s="120">
        <v>5.5</v>
      </c>
      <c r="J86" s="120" t="s">
        <v>88</v>
      </c>
      <c r="K86" s="121">
        <v>5</v>
      </c>
      <c r="L86" s="122">
        <v>17</v>
      </c>
      <c r="M86" s="121">
        <v>4</v>
      </c>
      <c r="N86" s="122">
        <v>14</v>
      </c>
      <c r="O86" s="121">
        <v>3</v>
      </c>
      <c r="P86" s="122">
        <v>11</v>
      </c>
      <c r="Q86" s="121">
        <v>3</v>
      </c>
      <c r="R86" s="122">
        <v>11</v>
      </c>
      <c r="S86" s="303" t="s">
        <v>67</v>
      </c>
      <c r="T86" s="304"/>
      <c r="U86" s="304"/>
      <c r="V86" s="305"/>
      <c r="W86" s="123" t="b">
        <f>AND($C$80&gt;=65%,B81=S86)</f>
        <v>0</v>
      </c>
      <c r="X86" s="123" t="b">
        <f>AND($E$80&gt;=65%,B81=S86)</f>
        <v>0</v>
      </c>
    </row>
    <row r="87" spans="2:24">
      <c r="B87" s="302" t="s">
        <v>53</v>
      </c>
      <c r="C87" s="302"/>
      <c r="D87" s="302"/>
      <c r="E87" s="302"/>
      <c r="F87" s="302"/>
      <c r="G87" s="302"/>
      <c r="H87" s="302"/>
      <c r="I87" s="120">
        <v>5.5</v>
      </c>
      <c r="J87" s="120" t="s">
        <v>88</v>
      </c>
      <c r="K87" s="121">
        <v>7</v>
      </c>
      <c r="L87" s="122">
        <v>23</v>
      </c>
      <c r="M87" s="121">
        <v>6</v>
      </c>
      <c r="N87" s="122">
        <v>20</v>
      </c>
      <c r="O87" s="121">
        <v>5</v>
      </c>
      <c r="P87" s="122">
        <v>17</v>
      </c>
      <c r="Q87" s="121">
        <v>5</v>
      </c>
      <c r="R87" s="122">
        <v>17</v>
      </c>
      <c r="S87" s="303" t="s">
        <v>67</v>
      </c>
      <c r="T87" s="304"/>
      <c r="U87" s="304"/>
      <c r="V87" s="305"/>
      <c r="W87" s="123" t="b">
        <f>AND($B$80&lt;=50%,50%&lt;=$C$80,$C$80&lt;65%,B81=S87)</f>
        <v>0</v>
      </c>
      <c r="X87" s="123" t="b">
        <f>AND($D$80&lt;=50%,50%&lt;=$E$80,$E$80&lt;65%,B81=S87)</f>
        <v>0</v>
      </c>
    </row>
    <row r="88" spans="2:24">
      <c r="B88" s="302" t="s">
        <v>54</v>
      </c>
      <c r="C88" s="302"/>
      <c r="D88" s="302"/>
      <c r="E88" s="302"/>
      <c r="F88" s="302"/>
      <c r="G88" s="302"/>
      <c r="H88" s="302"/>
      <c r="I88" s="120">
        <v>3.5</v>
      </c>
      <c r="J88" s="120" t="s">
        <v>88</v>
      </c>
      <c r="K88" s="121">
        <v>5</v>
      </c>
      <c r="L88" s="122">
        <v>17</v>
      </c>
      <c r="M88" s="121">
        <v>4</v>
      </c>
      <c r="N88" s="122">
        <v>14</v>
      </c>
      <c r="O88" s="121">
        <v>2</v>
      </c>
      <c r="P88" s="122">
        <v>11</v>
      </c>
      <c r="Q88" s="121">
        <v>2</v>
      </c>
      <c r="R88" s="122">
        <v>8</v>
      </c>
      <c r="S88" s="299" t="s">
        <v>66</v>
      </c>
      <c r="T88" s="299"/>
      <c r="U88" s="299"/>
      <c r="V88" s="299"/>
      <c r="W88" s="123" t="b">
        <f>AND($B$80&lt;=50%,50%&lt;=$C$80,B81=S88)</f>
        <v>0</v>
      </c>
      <c r="X88" s="123" t="b">
        <f>AND($D$80&lt;=50%,50%&lt;=$E$80,B81=S88)</f>
        <v>0</v>
      </c>
    </row>
    <row r="89" spans="2:24">
      <c r="B89" s="302" t="s">
        <v>55</v>
      </c>
      <c r="C89" s="302"/>
      <c r="D89" s="302"/>
      <c r="E89" s="302"/>
      <c r="F89" s="302"/>
      <c r="G89" s="302"/>
      <c r="H89" s="302"/>
      <c r="I89" s="120">
        <v>4.5</v>
      </c>
      <c r="J89" s="120" t="s">
        <v>89</v>
      </c>
      <c r="K89" s="124"/>
      <c r="L89" s="125"/>
      <c r="M89" s="125"/>
      <c r="N89" s="125"/>
      <c r="O89" s="125"/>
      <c r="P89" s="125"/>
      <c r="Q89" s="125"/>
      <c r="R89" s="126"/>
      <c r="S89" s="303"/>
      <c r="T89" s="304"/>
      <c r="U89" s="304"/>
      <c r="V89" s="305"/>
      <c r="W89" s="123" t="b">
        <f>AND($C$80&lt;=50%,50%&lt;=$B$80,$B$80&lt;65%,$C$80&lt;&gt;0)</f>
        <v>1</v>
      </c>
      <c r="X89" s="123" t="b">
        <f>AND($E$80&lt;=50%,50%&lt;=$D$80,$D$80&lt;65%,$E$80&lt;&gt;0)</f>
        <v>1</v>
      </c>
    </row>
    <row r="90" spans="2:24">
      <c r="B90" s="302" t="s">
        <v>56</v>
      </c>
      <c r="C90" s="302"/>
      <c r="D90" s="302"/>
      <c r="E90" s="302"/>
      <c r="F90" s="302"/>
      <c r="G90" s="302"/>
      <c r="H90" s="302"/>
      <c r="I90" s="120">
        <v>4.5</v>
      </c>
      <c r="J90" s="120" t="s">
        <v>89</v>
      </c>
      <c r="K90" s="124"/>
      <c r="L90" s="125"/>
      <c r="M90" s="125"/>
      <c r="N90" s="125"/>
      <c r="O90" s="125"/>
      <c r="P90" s="125"/>
      <c r="Q90" s="125"/>
      <c r="R90" s="126"/>
      <c r="S90" s="303"/>
      <c r="T90" s="304"/>
      <c r="U90" s="304"/>
      <c r="V90" s="305"/>
      <c r="W90" s="123" t="b">
        <f>AND($B$80&gt;=65%)</f>
        <v>0</v>
      </c>
      <c r="X90" s="123" t="b">
        <f>AND($D$80&gt;=65%)</f>
        <v>0</v>
      </c>
    </row>
    <row r="91" spans="2:24">
      <c r="B91" s="302" t="s">
        <v>57</v>
      </c>
      <c r="C91" s="302"/>
      <c r="D91" s="302"/>
      <c r="E91" s="302"/>
      <c r="F91" s="302"/>
      <c r="G91" s="302"/>
      <c r="H91" s="302"/>
      <c r="I91" s="120">
        <v>3</v>
      </c>
      <c r="J91" s="120" t="s">
        <v>89</v>
      </c>
      <c r="K91" s="124"/>
      <c r="L91" s="125"/>
      <c r="M91" s="125"/>
      <c r="N91" s="125"/>
      <c r="O91" s="125"/>
      <c r="P91" s="125"/>
      <c r="Q91" s="125"/>
      <c r="R91" s="126"/>
      <c r="S91" s="303"/>
      <c r="T91" s="304"/>
      <c r="U91" s="304"/>
      <c r="V91" s="305"/>
      <c r="W91" s="127" t="b">
        <f>OR(W87=TRUE,W88=TRUE,W89=TRUE,W90=TRUE)</f>
        <v>1</v>
      </c>
      <c r="X91" s="127" t="b">
        <f>OR(X87=TRUE,X88=TRUE,X89=TRUE,X90=TRUE)</f>
        <v>1</v>
      </c>
    </row>
    <row r="93" spans="2:24">
      <c r="K93" s="128"/>
    </row>
    <row r="94" spans="2:24">
      <c r="B94" s="306" t="s">
        <v>50</v>
      </c>
      <c r="C94" s="306"/>
      <c r="D94" s="306"/>
      <c r="E94" s="306"/>
      <c r="F94" s="306"/>
      <c r="G94" s="306"/>
      <c r="H94" s="306"/>
    </row>
    <row r="96" spans="2:24">
      <c r="B96" s="103" t="s">
        <v>122</v>
      </c>
      <c r="C96" s="129">
        <f>IF(F80=0,0,IF(W86=TRUE,I86,IF(W87=TRUE,I87,IF(W88=TRUE,I88,IF(W89=TRUE,I89,IF(W90=TRUE,I90))))))</f>
        <v>4.5</v>
      </c>
      <c r="D96" s="130" t="s">
        <v>87</v>
      </c>
      <c r="E96" s="129" t="str">
        <f>IF(C96=0,"FALSE",IF(W86=TRUE,J86,IF(W87=TRUE,J87,IF(W88=TRUE,J88,IF(W89=TRUE,J89,IF(W90=TRUE,J90))))))</f>
        <v>b</v>
      </c>
      <c r="F96" s="309" t="s">
        <v>84</v>
      </c>
      <c r="G96" s="309"/>
      <c r="H96" s="298" t="str">
        <f>IF(W86=TRUE,B86,IF(W87=TRUE,B87,IF(W88=TRUE,B88,IF(W89=TRUE,B89,IF(W90=TRUE,B90)))))</f>
        <v>4- Système à contreventement mixte, équivalent à des voiles</v>
      </c>
      <c r="I96" s="298"/>
      <c r="J96" s="298"/>
      <c r="K96" s="298"/>
      <c r="L96" s="298"/>
      <c r="M96" s="298"/>
      <c r="N96" s="298"/>
      <c r="O96" s="298"/>
      <c r="P96" s="298"/>
      <c r="Q96" s="298"/>
      <c r="R96" s="298"/>
      <c r="S96" s="298"/>
      <c r="T96" s="298"/>
      <c r="U96" s="298"/>
    </row>
    <row r="97" spans="2:21" ht="35.25" customHeight="1">
      <c r="B97" s="131" t="s">
        <v>85</v>
      </c>
      <c r="C97" s="319" t="str">
        <f>IF(H96="FALSE","FALSE",IF(W91=TRUE," Remarque : Assurez-Vous que ce système est une possibilité Système à ossature à noyau ou à effet noyau"," " ))</f>
        <v xml:space="preserve"> Remarque : Assurez-Vous que ce système est une possibilité Système à ossature à noyau ou à effet noyau</v>
      </c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</row>
    <row r="99" spans="2:21">
      <c r="B99" s="103" t="s">
        <v>123</v>
      </c>
      <c r="C99" s="99">
        <f>IF(F80=0,0,IF(X86=TRUE,I86,IF(X87=TRUE,I87,IF(X88=TRUE,I88,IF(X89=TRUE,I89,IF(X90=TRUE,I90))))))</f>
        <v>4.5</v>
      </c>
      <c r="D99" s="103" t="s">
        <v>87</v>
      </c>
      <c r="E99" s="99" t="str">
        <f>IF(C96=0,"FALSE",IF(X86=TRUE,J86,IF(X87=TRUE,J87,IF(X88=TRUE,J88,IF(X89=TRUE,J89,IF(X90=TRUE,J90))))))</f>
        <v>b</v>
      </c>
      <c r="F99" s="297" t="s">
        <v>84</v>
      </c>
      <c r="G99" s="297"/>
      <c r="H99" s="298" t="str">
        <f>IF(X86=TRUE,B86,IF(X87=TRUE,B87,IF(X88=TRUE,B88,IF(X89=TRUE,B89,IF(X90=TRUE,B90)))))</f>
        <v>4- Système à contreventement mixte, équivalent à des voiles</v>
      </c>
      <c r="I99" s="298"/>
      <c r="J99" s="298"/>
      <c r="K99" s="298"/>
      <c r="L99" s="298"/>
      <c r="M99" s="298"/>
      <c r="N99" s="298"/>
      <c r="O99" s="298"/>
      <c r="P99" s="298"/>
      <c r="Q99" s="298"/>
      <c r="R99" s="298"/>
      <c r="S99" s="298"/>
      <c r="T99" s="298"/>
      <c r="U99" s="298"/>
    </row>
    <row r="100" spans="2:21" ht="27" customHeight="1">
      <c r="B100" s="131" t="s">
        <v>85</v>
      </c>
      <c r="C100" s="319" t="str">
        <f>IF(H99="FALSE","FALSE",IF(X91=TRUE," Remarque : Assurez-Vous que ce système est une possibilité Système à ossature à noyau ou à effet noyau"," " ))</f>
        <v xml:space="preserve"> Remarque : Assurez-Vous que ce système est une possibilité Système à ossature à noyau ou à effet noyau</v>
      </c>
      <c r="D100" s="319"/>
      <c r="E100" s="319"/>
      <c r="F100" s="319"/>
      <c r="G100" s="319"/>
      <c r="H100" s="319"/>
      <c r="I100" s="319"/>
      <c r="J100" s="319"/>
      <c r="K100" s="319"/>
      <c r="L100" s="319"/>
      <c r="M100" s="319"/>
      <c r="N100" s="319"/>
      <c r="O100" s="319"/>
      <c r="P100" s="319"/>
      <c r="Q100" s="319"/>
      <c r="R100" s="319"/>
      <c r="S100" s="319"/>
      <c r="T100" s="319"/>
      <c r="U100" s="319"/>
    </row>
    <row r="103" spans="2:21">
      <c r="B103" s="306" t="s">
        <v>51</v>
      </c>
      <c r="C103" s="306"/>
      <c r="D103" s="306"/>
      <c r="E103" s="306"/>
      <c r="F103" s="306"/>
      <c r="G103" s="306"/>
      <c r="H103" s="306"/>
    </row>
    <row r="105" spans="2:21">
      <c r="B105" s="248" t="s">
        <v>21</v>
      </c>
      <c r="C105" s="132">
        <f>SQRT(7/(2+(Données!J6)))</f>
        <v>0.76376261582597338</v>
      </c>
    </row>
  </sheetData>
  <sheetProtection formatCells="0" formatColumns="0" formatRows="0" insertColumns="0" insertRows="0" insertHyperlinks="0" deleteColumns="0" deleteRows="0" sort="0" autoFilter="0" pivotTables="0"/>
  <mergeCells count="64">
    <mergeCell ref="O25:Y25"/>
    <mergeCell ref="O27:X27"/>
    <mergeCell ref="O35:X35"/>
    <mergeCell ref="B25:J25"/>
    <mergeCell ref="B103:H103"/>
    <mergeCell ref="B61:C61"/>
    <mergeCell ref="B66:C66"/>
    <mergeCell ref="B74:C74"/>
    <mergeCell ref="B78:C78"/>
    <mergeCell ref="D78:E78"/>
    <mergeCell ref="B86:H86"/>
    <mergeCell ref="B89:H89"/>
    <mergeCell ref="F96:G96"/>
    <mergeCell ref="B81:E81"/>
    <mergeCell ref="B68:H68"/>
    <mergeCell ref="B73:C73"/>
    <mergeCell ref="B76:H76"/>
    <mergeCell ref="C100:U100"/>
    <mergeCell ref="C97:U97"/>
    <mergeCell ref="K83:V83"/>
    <mergeCell ref="P76:R76"/>
    <mergeCell ref="O84:P84"/>
    <mergeCell ref="Q84:R84"/>
    <mergeCell ref="S84:V85"/>
    <mergeCell ref="H96:U96"/>
    <mergeCell ref="S90:V90"/>
    <mergeCell ref="B2:N2"/>
    <mergeCell ref="G3:N3"/>
    <mergeCell ref="B14:H14"/>
    <mergeCell ref="B27:H27"/>
    <mergeCell ref="B63:H63"/>
    <mergeCell ref="B10:K10"/>
    <mergeCell ref="C11:K11"/>
    <mergeCell ref="C12:K12"/>
    <mergeCell ref="N7:O7"/>
    <mergeCell ref="N8:O8"/>
    <mergeCell ref="B52:C52"/>
    <mergeCell ref="B53:C53"/>
    <mergeCell ref="B5:H5"/>
    <mergeCell ref="B35:H35"/>
    <mergeCell ref="B44:H44"/>
    <mergeCell ref="B58:H58"/>
    <mergeCell ref="B60:C60"/>
    <mergeCell ref="B50:H50"/>
    <mergeCell ref="B55:C55"/>
    <mergeCell ref="B70:C70"/>
    <mergeCell ref="B71:C71"/>
    <mergeCell ref="B65:C65"/>
    <mergeCell ref="W84:W85"/>
    <mergeCell ref="X84:X85"/>
    <mergeCell ref="F99:G99"/>
    <mergeCell ref="H99:U99"/>
    <mergeCell ref="S88:V88"/>
    <mergeCell ref="K84:L84"/>
    <mergeCell ref="B87:H87"/>
    <mergeCell ref="S87:V87"/>
    <mergeCell ref="B88:H88"/>
    <mergeCell ref="B94:H94"/>
    <mergeCell ref="B91:H91"/>
    <mergeCell ref="S91:V91"/>
    <mergeCell ref="S86:V86"/>
    <mergeCell ref="M84:N84"/>
    <mergeCell ref="S89:V89"/>
    <mergeCell ref="B90:H90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>
    <tabColor rgb="FF002060"/>
  </sheetPr>
  <dimension ref="B1:AA1160"/>
  <sheetViews>
    <sheetView showGridLines="0" workbookViewId="0">
      <selection activeCell="J5" sqref="J5:K5"/>
    </sheetView>
  </sheetViews>
  <sheetFormatPr defaultColWidth="9.140625" defaultRowHeight="15.75"/>
  <cols>
    <col min="1" max="11" width="9.140625" style="1"/>
    <col min="12" max="12" width="5" style="1" customWidth="1"/>
    <col min="13" max="13" width="11.28515625" style="1" customWidth="1"/>
    <col min="14" max="14" width="11.28515625" style="33" customWidth="1"/>
    <col min="15" max="15" width="9.140625" style="1"/>
    <col min="16" max="18" width="9.140625" style="1" customWidth="1"/>
    <col min="19" max="16384" width="9.140625" style="1"/>
  </cols>
  <sheetData>
    <row r="1" spans="2:27" ht="16.5" thickBot="1"/>
    <row r="2" spans="2:27" ht="21" thickTop="1">
      <c r="B2" s="272" t="s">
        <v>215</v>
      </c>
      <c r="C2" s="273"/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4"/>
      <c r="Q2" s="204"/>
      <c r="R2" s="205"/>
      <c r="S2" s="205"/>
      <c r="T2" s="205"/>
      <c r="U2" s="205"/>
      <c r="V2" s="205"/>
      <c r="W2" s="205"/>
      <c r="X2" s="205"/>
      <c r="Y2" s="205"/>
      <c r="Z2" s="205"/>
      <c r="AA2" s="206"/>
    </row>
    <row r="3" spans="2:27" ht="16.5" thickBot="1">
      <c r="B3" s="46" t="s">
        <v>151</v>
      </c>
      <c r="C3" s="47"/>
      <c r="D3" s="48" t="str">
        <f>'CALCUL RPA'!$D$3</f>
        <v>Vers 1.5.1</v>
      </c>
      <c r="E3" s="49"/>
      <c r="F3" s="49"/>
      <c r="G3" s="275"/>
      <c r="H3" s="275"/>
      <c r="I3" s="275"/>
      <c r="J3" s="275"/>
      <c r="K3" s="275"/>
      <c r="L3" s="275"/>
      <c r="M3" s="275"/>
      <c r="N3" s="276"/>
      <c r="Q3" s="207"/>
      <c r="R3" s="31"/>
      <c r="S3" s="31"/>
      <c r="T3" s="31"/>
      <c r="U3" s="31"/>
      <c r="V3" s="31"/>
      <c r="W3" s="31"/>
      <c r="X3" s="31"/>
      <c r="Y3" s="31"/>
      <c r="Z3" s="31"/>
      <c r="AA3" s="208"/>
    </row>
    <row r="4" spans="2:27" ht="16.5" thickTop="1">
      <c r="P4" s="32"/>
      <c r="Q4" s="207"/>
      <c r="R4" s="31"/>
      <c r="S4" s="31"/>
      <c r="T4" s="31"/>
      <c r="U4" s="31"/>
      <c r="V4" s="31"/>
      <c r="W4" s="31"/>
      <c r="X4" s="31"/>
      <c r="Y4" s="31"/>
      <c r="Z4" s="31"/>
      <c r="AA4" s="208"/>
    </row>
    <row r="5" spans="2:27">
      <c r="B5" s="79" t="s">
        <v>15</v>
      </c>
      <c r="C5" s="79" t="s">
        <v>7</v>
      </c>
      <c r="D5" s="79" t="s">
        <v>35</v>
      </c>
      <c r="E5" s="79" t="s">
        <v>42</v>
      </c>
      <c r="F5" s="79" t="s">
        <v>2</v>
      </c>
      <c r="G5" s="79" t="s">
        <v>18</v>
      </c>
      <c r="H5" s="79" t="s">
        <v>19</v>
      </c>
      <c r="I5" s="79" t="s">
        <v>36</v>
      </c>
      <c r="J5" s="337" t="s">
        <v>132</v>
      </c>
      <c r="K5" s="337"/>
      <c r="Q5" s="207"/>
      <c r="R5" s="31"/>
      <c r="S5" s="31"/>
      <c r="T5" s="31"/>
      <c r="U5" s="31"/>
      <c r="V5" s="31"/>
      <c r="W5" s="31"/>
      <c r="X5" s="31"/>
      <c r="Y5" s="31"/>
      <c r="Z5" s="31"/>
      <c r="AA5" s="208"/>
    </row>
    <row r="6" spans="2:27" ht="16.5" thickBot="1">
      <c r="B6" s="82">
        <f>'CALCUL RPA'!$G$19</f>
        <v>7.0000000000000007E-2</v>
      </c>
      <c r="C6" s="82">
        <f>'CALCUL RPA'!$I$47</f>
        <v>1</v>
      </c>
      <c r="D6" s="82">
        <f>'CALCUL RPA'!$L$34</f>
        <v>1</v>
      </c>
      <c r="E6" s="82">
        <f>'CALCUL RPA'!$G$8</f>
        <v>1.2</v>
      </c>
      <c r="F6" s="82">
        <f>'CALCUL RPA'!$J$8</f>
        <v>4.5</v>
      </c>
      <c r="G6" s="82">
        <f>'CALCUL RPA'!$L$35</f>
        <v>0.05</v>
      </c>
      <c r="H6" s="82">
        <f>'CALCUL RPA'!$L$36</f>
        <v>0.25</v>
      </c>
      <c r="I6" s="82">
        <f>'CALCUL RPA'!$L$37</f>
        <v>1.2</v>
      </c>
      <c r="J6" s="338">
        <f>0.2*$B$6*$C$6</f>
        <v>1.4000000000000002E-2</v>
      </c>
      <c r="K6" s="338"/>
      <c r="L6" s="226"/>
      <c r="Q6" s="207"/>
      <c r="R6" s="31"/>
      <c r="S6" s="31"/>
      <c r="T6" s="31"/>
      <c r="U6" s="31"/>
      <c r="V6" s="31"/>
      <c r="W6" s="31"/>
      <c r="X6" s="31"/>
      <c r="Y6" s="31"/>
      <c r="Z6" s="31"/>
      <c r="AA6" s="208"/>
    </row>
    <row r="7" spans="2:27" ht="16.5" thickBot="1">
      <c r="P7" s="34" t="s">
        <v>133</v>
      </c>
      <c r="Q7" s="207"/>
      <c r="R7" s="31"/>
      <c r="S7" s="31"/>
      <c r="T7" s="31"/>
      <c r="U7" s="31"/>
      <c r="V7" s="31"/>
      <c r="W7" s="31"/>
      <c r="X7" s="31"/>
      <c r="Y7" s="31"/>
      <c r="Z7" s="31"/>
      <c r="AA7" s="208"/>
    </row>
    <row r="8" spans="2:27">
      <c r="B8" s="328"/>
      <c r="C8" s="329"/>
      <c r="D8" s="329"/>
      <c r="E8" s="329"/>
      <c r="F8" s="329"/>
      <c r="G8" s="329"/>
      <c r="H8" s="329"/>
      <c r="I8" s="329"/>
      <c r="J8" s="329"/>
      <c r="K8" s="330"/>
      <c r="M8" s="79" t="s">
        <v>41</v>
      </c>
      <c r="N8" s="79" t="s">
        <v>129</v>
      </c>
      <c r="P8" s="35" t="s">
        <v>129</v>
      </c>
      <c r="Q8" s="207"/>
      <c r="R8" s="31"/>
      <c r="S8" s="31"/>
      <c r="T8" s="31"/>
      <c r="U8" s="31"/>
      <c r="V8" s="31"/>
      <c r="W8" s="31"/>
      <c r="X8" s="31"/>
      <c r="Y8" s="31"/>
      <c r="Z8" s="31"/>
      <c r="AA8" s="208"/>
    </row>
    <row r="9" spans="2:27">
      <c r="B9" s="331"/>
      <c r="C9" s="332"/>
      <c r="D9" s="332"/>
      <c r="E9" s="332"/>
      <c r="F9" s="332"/>
      <c r="G9" s="332"/>
      <c r="H9" s="332"/>
      <c r="I9" s="332"/>
      <c r="J9" s="332"/>
      <c r="K9" s="333"/>
      <c r="M9" s="80">
        <v>0</v>
      </c>
      <c r="N9" s="81">
        <f>ROUND(IF(P9&lt;$J$6,$J$6,P9),5)</f>
        <v>4.6670000000000003E-2</v>
      </c>
      <c r="P9" s="36">
        <f t="shared" ref="P9:P72" si="0">IF(M9&lt;$G$6,$B$6*$C$6*$D$6*(2/3+(M9/$G$6)*(2.5*$E$6/$F$6-2/3)),IF(M9&lt;$H$6,$B$6*$C$6*$D$6*(2.5*$E$6/$F$6),IF(M9&lt;$I$6,$B$6*$C$6*$D$6*(2.5*$E$6/$F$6)*($H$6/M9),$B$6*$C$6*$D$6*(2.5*$E$6/$F$6)*($H$6*$I$6/M9^2))))</f>
        <v>4.6666666666666669E-2</v>
      </c>
      <c r="Q9" s="207"/>
      <c r="R9" s="31"/>
      <c r="S9" s="31"/>
      <c r="T9" s="31"/>
      <c r="U9" s="31"/>
      <c r="V9" s="31"/>
      <c r="W9" s="31"/>
      <c r="X9" s="31"/>
      <c r="Y9" s="31"/>
      <c r="Z9" s="31"/>
      <c r="AA9" s="208"/>
    </row>
    <row r="10" spans="2:27">
      <c r="B10" s="331"/>
      <c r="C10" s="332"/>
      <c r="D10" s="332"/>
      <c r="E10" s="332"/>
      <c r="F10" s="332"/>
      <c r="G10" s="332"/>
      <c r="H10" s="332"/>
      <c r="I10" s="332"/>
      <c r="J10" s="332"/>
      <c r="K10" s="333"/>
      <c r="M10" s="80">
        <v>0.01</v>
      </c>
      <c r="N10" s="81">
        <f t="shared" ref="N10:N73" si="1">ROUND(IF(P10&lt;$J$6,$J$6,P10),5)</f>
        <v>4.6670000000000003E-2</v>
      </c>
      <c r="P10" s="36">
        <f t="shared" si="0"/>
        <v>4.6666666666666669E-2</v>
      </c>
      <c r="Q10" s="207"/>
      <c r="R10" s="31"/>
      <c r="S10" s="31"/>
      <c r="T10" s="31"/>
      <c r="U10" s="31"/>
      <c r="V10" s="31"/>
      <c r="W10" s="31"/>
      <c r="X10" s="31"/>
      <c r="Y10" s="31"/>
      <c r="Z10" s="31"/>
      <c r="AA10" s="208"/>
    </row>
    <row r="11" spans="2:27">
      <c r="B11" s="331"/>
      <c r="C11" s="332"/>
      <c r="D11" s="332"/>
      <c r="E11" s="332"/>
      <c r="F11" s="332"/>
      <c r="G11" s="332"/>
      <c r="H11" s="332"/>
      <c r="I11" s="332"/>
      <c r="J11" s="332"/>
      <c r="K11" s="333"/>
      <c r="M11" s="80">
        <v>0.02</v>
      </c>
      <c r="N11" s="81">
        <f t="shared" si="1"/>
        <v>4.6670000000000003E-2</v>
      </c>
      <c r="P11" s="36">
        <f t="shared" si="0"/>
        <v>4.6666666666666669E-2</v>
      </c>
      <c r="Q11" s="207"/>
      <c r="R11" s="31"/>
      <c r="S11" s="31"/>
      <c r="T11" s="31"/>
      <c r="U11" s="31"/>
      <c r="V11" s="31"/>
      <c r="W11" s="31"/>
      <c r="X11" s="31"/>
      <c r="Y11" s="31"/>
      <c r="Z11" s="31"/>
      <c r="AA11" s="208"/>
    </row>
    <row r="12" spans="2:27">
      <c r="B12" s="331"/>
      <c r="C12" s="332"/>
      <c r="D12" s="332"/>
      <c r="E12" s="332"/>
      <c r="F12" s="332"/>
      <c r="G12" s="332"/>
      <c r="H12" s="332"/>
      <c r="I12" s="332"/>
      <c r="J12" s="332"/>
      <c r="K12" s="333"/>
      <c r="M12" s="80">
        <v>0.03</v>
      </c>
      <c r="N12" s="81">
        <f t="shared" si="1"/>
        <v>4.6670000000000003E-2</v>
      </c>
      <c r="P12" s="36">
        <f t="shared" si="0"/>
        <v>4.6666666666666669E-2</v>
      </c>
      <c r="Q12" s="207"/>
      <c r="R12" s="31"/>
      <c r="S12" s="31"/>
      <c r="T12" s="31"/>
      <c r="U12" s="31"/>
      <c r="V12" s="31"/>
      <c r="W12" s="31"/>
      <c r="X12" s="31"/>
      <c r="Y12" s="31"/>
      <c r="Z12" s="31"/>
      <c r="AA12" s="208"/>
    </row>
    <row r="13" spans="2:27">
      <c r="B13" s="331"/>
      <c r="C13" s="332"/>
      <c r="D13" s="332"/>
      <c r="E13" s="332"/>
      <c r="F13" s="332"/>
      <c r="G13" s="332"/>
      <c r="H13" s="332"/>
      <c r="I13" s="332"/>
      <c r="J13" s="332"/>
      <c r="K13" s="333"/>
      <c r="M13" s="80">
        <v>0.04</v>
      </c>
      <c r="N13" s="81">
        <f t="shared" si="1"/>
        <v>4.6670000000000003E-2</v>
      </c>
      <c r="P13" s="36">
        <f t="shared" si="0"/>
        <v>4.6666666666666669E-2</v>
      </c>
      <c r="Q13" s="207"/>
      <c r="R13" s="31"/>
      <c r="S13" s="31"/>
      <c r="T13" s="31"/>
      <c r="U13" s="31"/>
      <c r="V13" s="31"/>
      <c r="W13" s="31"/>
      <c r="X13" s="31"/>
      <c r="Y13" s="31"/>
      <c r="Z13" s="31"/>
      <c r="AA13" s="208"/>
    </row>
    <row r="14" spans="2:27">
      <c r="B14" s="331"/>
      <c r="C14" s="332"/>
      <c r="D14" s="332"/>
      <c r="E14" s="332"/>
      <c r="F14" s="332"/>
      <c r="G14" s="332"/>
      <c r="H14" s="332"/>
      <c r="I14" s="332"/>
      <c r="J14" s="332"/>
      <c r="K14" s="333"/>
      <c r="M14" s="80">
        <v>0.05</v>
      </c>
      <c r="N14" s="81">
        <f t="shared" si="1"/>
        <v>4.6670000000000003E-2</v>
      </c>
      <c r="P14" s="36">
        <f t="shared" si="0"/>
        <v>4.6666666666666669E-2</v>
      </c>
      <c r="Q14" s="207"/>
      <c r="R14" s="31"/>
      <c r="S14" s="31"/>
      <c r="T14" s="31"/>
      <c r="U14" s="31"/>
      <c r="V14" s="31"/>
      <c r="W14" s="31"/>
      <c r="X14" s="31"/>
      <c r="Y14" s="31"/>
      <c r="Z14" s="31"/>
      <c r="AA14" s="208"/>
    </row>
    <row r="15" spans="2:27">
      <c r="B15" s="331"/>
      <c r="C15" s="332"/>
      <c r="D15" s="332"/>
      <c r="E15" s="332"/>
      <c r="F15" s="332"/>
      <c r="G15" s="332"/>
      <c r="H15" s="332"/>
      <c r="I15" s="332"/>
      <c r="J15" s="332"/>
      <c r="K15" s="333"/>
      <c r="M15" s="80">
        <v>0.06</v>
      </c>
      <c r="N15" s="81">
        <f t="shared" si="1"/>
        <v>4.6670000000000003E-2</v>
      </c>
      <c r="P15" s="36">
        <f t="shared" si="0"/>
        <v>4.6666666666666669E-2</v>
      </c>
      <c r="Q15" s="207"/>
      <c r="R15" s="31"/>
      <c r="S15" s="31"/>
      <c r="T15" s="31"/>
      <c r="U15" s="31"/>
      <c r="V15" s="31"/>
      <c r="W15" s="31"/>
      <c r="X15" s="31"/>
      <c r="Y15" s="31"/>
      <c r="Z15" s="31"/>
      <c r="AA15" s="208"/>
    </row>
    <row r="16" spans="2:27">
      <c r="B16" s="331"/>
      <c r="C16" s="332"/>
      <c r="D16" s="332"/>
      <c r="E16" s="332"/>
      <c r="F16" s="332"/>
      <c r="G16" s="332"/>
      <c r="H16" s="332"/>
      <c r="I16" s="332"/>
      <c r="J16" s="332"/>
      <c r="K16" s="333"/>
      <c r="M16" s="80">
        <v>7.0000000000000007E-2</v>
      </c>
      <c r="N16" s="81">
        <f t="shared" si="1"/>
        <v>4.6670000000000003E-2</v>
      </c>
      <c r="P16" s="36">
        <f t="shared" si="0"/>
        <v>4.6666666666666669E-2</v>
      </c>
      <c r="Q16" s="207"/>
      <c r="R16" s="31"/>
      <c r="S16" s="31"/>
      <c r="T16" s="31"/>
      <c r="U16" s="31"/>
      <c r="V16" s="31"/>
      <c r="W16" s="31"/>
      <c r="X16" s="31"/>
      <c r="Y16" s="31"/>
      <c r="Z16" s="31"/>
      <c r="AA16" s="208"/>
    </row>
    <row r="17" spans="2:27">
      <c r="B17" s="331"/>
      <c r="C17" s="332"/>
      <c r="D17" s="332"/>
      <c r="E17" s="332"/>
      <c r="F17" s="332"/>
      <c r="G17" s="332"/>
      <c r="H17" s="332"/>
      <c r="I17" s="332"/>
      <c r="J17" s="332"/>
      <c r="K17" s="333"/>
      <c r="M17" s="80">
        <v>0.08</v>
      </c>
      <c r="N17" s="81">
        <f t="shared" si="1"/>
        <v>4.6670000000000003E-2</v>
      </c>
      <c r="P17" s="36">
        <f t="shared" si="0"/>
        <v>4.6666666666666669E-2</v>
      </c>
      <c r="Q17" s="207"/>
      <c r="R17" s="31"/>
      <c r="S17" s="31"/>
      <c r="T17" s="31"/>
      <c r="U17" s="31"/>
      <c r="V17" s="31"/>
      <c r="W17" s="31"/>
      <c r="X17" s="31"/>
      <c r="Y17" s="31"/>
      <c r="Z17" s="31"/>
      <c r="AA17" s="208"/>
    </row>
    <row r="18" spans="2:27">
      <c r="B18" s="331"/>
      <c r="C18" s="332"/>
      <c r="D18" s="332"/>
      <c r="E18" s="332"/>
      <c r="F18" s="332"/>
      <c r="G18" s="332"/>
      <c r="H18" s="332"/>
      <c r="I18" s="332"/>
      <c r="J18" s="332"/>
      <c r="K18" s="333"/>
      <c r="M18" s="80">
        <v>0.09</v>
      </c>
      <c r="N18" s="81">
        <f t="shared" si="1"/>
        <v>4.6670000000000003E-2</v>
      </c>
      <c r="P18" s="36">
        <f t="shared" si="0"/>
        <v>4.6666666666666669E-2</v>
      </c>
      <c r="Q18" s="207"/>
      <c r="R18" s="31"/>
      <c r="S18" s="31"/>
      <c r="T18" s="31"/>
      <c r="U18" s="31"/>
      <c r="V18" s="31"/>
      <c r="W18" s="31"/>
      <c r="X18" s="31"/>
      <c r="Y18" s="31"/>
      <c r="Z18" s="31"/>
      <c r="AA18" s="208"/>
    </row>
    <row r="19" spans="2:27">
      <c r="B19" s="331"/>
      <c r="C19" s="332"/>
      <c r="D19" s="332"/>
      <c r="E19" s="332"/>
      <c r="F19" s="332"/>
      <c r="G19" s="332"/>
      <c r="H19" s="332"/>
      <c r="I19" s="332"/>
      <c r="J19" s="332"/>
      <c r="K19" s="333"/>
      <c r="M19" s="80">
        <v>0.1</v>
      </c>
      <c r="N19" s="81">
        <f t="shared" si="1"/>
        <v>4.6670000000000003E-2</v>
      </c>
      <c r="P19" s="36">
        <f t="shared" si="0"/>
        <v>4.6666666666666669E-2</v>
      </c>
      <c r="Q19" s="207"/>
      <c r="R19" s="31"/>
      <c r="S19" s="31"/>
      <c r="T19" s="31"/>
      <c r="U19" s="31"/>
      <c r="V19" s="31"/>
      <c r="W19" s="31"/>
      <c r="X19" s="31"/>
      <c r="Y19" s="31"/>
      <c r="Z19" s="31"/>
      <c r="AA19" s="208"/>
    </row>
    <row r="20" spans="2:27">
      <c r="B20" s="331"/>
      <c r="C20" s="332"/>
      <c r="D20" s="332"/>
      <c r="E20" s="332"/>
      <c r="F20" s="332"/>
      <c r="G20" s="332"/>
      <c r="H20" s="332"/>
      <c r="I20" s="332"/>
      <c r="J20" s="332"/>
      <c r="K20" s="333"/>
      <c r="M20" s="80">
        <v>0.11</v>
      </c>
      <c r="N20" s="81">
        <f t="shared" si="1"/>
        <v>4.6670000000000003E-2</v>
      </c>
      <c r="P20" s="36">
        <f t="shared" si="0"/>
        <v>4.6666666666666669E-2</v>
      </c>
      <c r="Q20" s="207"/>
      <c r="R20" s="31"/>
      <c r="S20" s="31"/>
      <c r="T20" s="31"/>
      <c r="U20" s="31"/>
      <c r="V20" s="31"/>
      <c r="W20" s="31"/>
      <c r="X20" s="31"/>
      <c r="Y20" s="31"/>
      <c r="Z20" s="31"/>
      <c r="AA20" s="208"/>
    </row>
    <row r="21" spans="2:27">
      <c r="B21" s="331"/>
      <c r="C21" s="332"/>
      <c r="D21" s="332"/>
      <c r="E21" s="332"/>
      <c r="F21" s="332"/>
      <c r="G21" s="332"/>
      <c r="H21" s="332"/>
      <c r="I21" s="332"/>
      <c r="J21" s="332"/>
      <c r="K21" s="333"/>
      <c r="M21" s="80">
        <v>0.12</v>
      </c>
      <c r="N21" s="81">
        <f t="shared" si="1"/>
        <v>4.6670000000000003E-2</v>
      </c>
      <c r="P21" s="36">
        <f t="shared" si="0"/>
        <v>4.6666666666666669E-2</v>
      </c>
      <c r="Q21" s="207"/>
      <c r="R21" s="31"/>
      <c r="S21" s="31"/>
      <c r="T21" s="31"/>
      <c r="U21" s="31"/>
      <c r="V21" s="31"/>
      <c r="W21" s="31"/>
      <c r="X21" s="31"/>
      <c r="Y21" s="31"/>
      <c r="Z21" s="31"/>
      <c r="AA21" s="208"/>
    </row>
    <row r="22" spans="2:27">
      <c r="B22" s="331"/>
      <c r="C22" s="332"/>
      <c r="D22" s="332"/>
      <c r="E22" s="332"/>
      <c r="F22" s="332"/>
      <c r="G22" s="332"/>
      <c r="H22" s="332"/>
      <c r="I22" s="332"/>
      <c r="J22" s="332"/>
      <c r="K22" s="333"/>
      <c r="M22" s="80">
        <v>0.13</v>
      </c>
      <c r="N22" s="81">
        <f t="shared" si="1"/>
        <v>4.6670000000000003E-2</v>
      </c>
      <c r="P22" s="36">
        <f t="shared" si="0"/>
        <v>4.6666666666666669E-2</v>
      </c>
      <c r="Q22" s="207"/>
      <c r="R22" s="31"/>
      <c r="S22" s="31"/>
      <c r="T22" s="31"/>
      <c r="U22" s="31"/>
      <c r="V22" s="31"/>
      <c r="W22" s="31"/>
      <c r="X22" s="31"/>
      <c r="Y22" s="31"/>
      <c r="Z22" s="31"/>
      <c r="AA22" s="208"/>
    </row>
    <row r="23" spans="2:27" ht="16.5" thickBot="1">
      <c r="B23" s="331"/>
      <c r="C23" s="332"/>
      <c r="D23" s="332"/>
      <c r="E23" s="332"/>
      <c r="F23" s="332"/>
      <c r="G23" s="332"/>
      <c r="H23" s="332"/>
      <c r="I23" s="332"/>
      <c r="J23" s="332"/>
      <c r="K23" s="333"/>
      <c r="M23" s="80">
        <v>0.14000000000000001</v>
      </c>
      <c r="N23" s="81">
        <f t="shared" si="1"/>
        <v>4.6670000000000003E-2</v>
      </c>
      <c r="P23" s="36">
        <f t="shared" si="0"/>
        <v>4.6666666666666669E-2</v>
      </c>
      <c r="Q23" s="209"/>
      <c r="R23" s="210"/>
      <c r="S23" s="210"/>
      <c r="T23" s="210"/>
      <c r="U23" s="210"/>
      <c r="V23" s="210"/>
      <c r="W23" s="210"/>
      <c r="X23" s="210"/>
      <c r="Y23" s="210"/>
      <c r="Z23" s="210"/>
      <c r="AA23" s="211"/>
    </row>
    <row r="24" spans="2:27">
      <c r="B24" s="331"/>
      <c r="C24" s="332"/>
      <c r="D24" s="332"/>
      <c r="E24" s="332"/>
      <c r="F24" s="332"/>
      <c r="G24" s="332"/>
      <c r="H24" s="332"/>
      <c r="I24" s="332"/>
      <c r="J24" s="332"/>
      <c r="K24" s="333"/>
      <c r="M24" s="80">
        <v>0.15</v>
      </c>
      <c r="N24" s="81">
        <f t="shared" si="1"/>
        <v>4.6670000000000003E-2</v>
      </c>
      <c r="P24" s="36">
        <f t="shared" si="0"/>
        <v>4.6666666666666669E-2</v>
      </c>
    </row>
    <row r="25" spans="2:27">
      <c r="B25" s="331"/>
      <c r="C25" s="332"/>
      <c r="D25" s="332"/>
      <c r="E25" s="332"/>
      <c r="F25" s="332"/>
      <c r="G25" s="332"/>
      <c r="H25" s="332"/>
      <c r="I25" s="332"/>
      <c r="J25" s="332"/>
      <c r="K25" s="333"/>
      <c r="M25" s="80">
        <v>0.16</v>
      </c>
      <c r="N25" s="81">
        <f t="shared" si="1"/>
        <v>4.6670000000000003E-2</v>
      </c>
      <c r="P25" s="36">
        <f t="shared" si="0"/>
        <v>4.6666666666666669E-2</v>
      </c>
    </row>
    <row r="26" spans="2:27">
      <c r="B26" s="331"/>
      <c r="C26" s="332"/>
      <c r="D26" s="332"/>
      <c r="E26" s="332"/>
      <c r="F26" s="332"/>
      <c r="G26" s="332"/>
      <c r="H26" s="332"/>
      <c r="I26" s="332"/>
      <c r="J26" s="332"/>
      <c r="K26" s="333"/>
      <c r="M26" s="80">
        <v>0.17</v>
      </c>
      <c r="N26" s="81">
        <f t="shared" si="1"/>
        <v>4.6670000000000003E-2</v>
      </c>
      <c r="P26" s="36">
        <f t="shared" si="0"/>
        <v>4.6666666666666669E-2</v>
      </c>
    </row>
    <row r="27" spans="2:27">
      <c r="B27" s="331"/>
      <c r="C27" s="332"/>
      <c r="D27" s="332"/>
      <c r="E27" s="332"/>
      <c r="F27" s="332"/>
      <c r="G27" s="332"/>
      <c r="H27" s="332"/>
      <c r="I27" s="332"/>
      <c r="J27" s="332"/>
      <c r="K27" s="333"/>
      <c r="M27" s="80">
        <v>0.18</v>
      </c>
      <c r="N27" s="81">
        <f t="shared" si="1"/>
        <v>4.6670000000000003E-2</v>
      </c>
      <c r="P27" s="36">
        <f t="shared" si="0"/>
        <v>4.6666666666666669E-2</v>
      </c>
    </row>
    <row r="28" spans="2:27" ht="16.5" thickBot="1">
      <c r="B28" s="334"/>
      <c r="C28" s="335"/>
      <c r="D28" s="335"/>
      <c r="E28" s="335"/>
      <c r="F28" s="335"/>
      <c r="G28" s="335"/>
      <c r="H28" s="335"/>
      <c r="I28" s="335"/>
      <c r="J28" s="335"/>
      <c r="K28" s="336"/>
      <c r="M28" s="80">
        <v>0.19</v>
      </c>
      <c r="N28" s="81">
        <f t="shared" si="1"/>
        <v>4.6670000000000003E-2</v>
      </c>
      <c r="P28" s="36">
        <f t="shared" si="0"/>
        <v>4.6666666666666669E-2</v>
      </c>
    </row>
    <row r="29" spans="2:27">
      <c r="M29" s="80">
        <v>0.2</v>
      </c>
      <c r="N29" s="81">
        <f t="shared" si="1"/>
        <v>4.6670000000000003E-2</v>
      </c>
      <c r="P29" s="36">
        <f t="shared" si="0"/>
        <v>4.6666666666666669E-2</v>
      </c>
    </row>
    <row r="30" spans="2:27">
      <c r="M30" s="80">
        <v>0.21</v>
      </c>
      <c r="N30" s="81">
        <f t="shared" si="1"/>
        <v>4.6670000000000003E-2</v>
      </c>
      <c r="P30" s="36">
        <f t="shared" si="0"/>
        <v>4.6666666666666669E-2</v>
      </c>
    </row>
    <row r="31" spans="2:27">
      <c r="M31" s="80">
        <v>0.22</v>
      </c>
      <c r="N31" s="81">
        <f t="shared" si="1"/>
        <v>4.6670000000000003E-2</v>
      </c>
      <c r="P31" s="36">
        <f t="shared" si="0"/>
        <v>4.6666666666666669E-2</v>
      </c>
    </row>
    <row r="32" spans="2:27">
      <c r="M32" s="80">
        <v>0.23</v>
      </c>
      <c r="N32" s="81">
        <f t="shared" si="1"/>
        <v>4.6670000000000003E-2</v>
      </c>
      <c r="P32" s="36">
        <f t="shared" si="0"/>
        <v>4.6666666666666669E-2</v>
      </c>
    </row>
    <row r="33" spans="13:16">
      <c r="M33" s="80">
        <v>0.24</v>
      </c>
      <c r="N33" s="81">
        <f t="shared" si="1"/>
        <v>4.6670000000000003E-2</v>
      </c>
      <c r="P33" s="36">
        <f t="shared" si="0"/>
        <v>4.6666666666666669E-2</v>
      </c>
    </row>
    <row r="34" spans="13:16">
      <c r="M34" s="80">
        <v>0.25</v>
      </c>
      <c r="N34" s="81">
        <f t="shared" si="1"/>
        <v>4.6670000000000003E-2</v>
      </c>
      <c r="P34" s="36">
        <f t="shared" si="0"/>
        <v>4.6666666666666669E-2</v>
      </c>
    </row>
    <row r="35" spans="13:16">
      <c r="M35" s="80">
        <v>0.26</v>
      </c>
      <c r="N35" s="81">
        <f t="shared" si="1"/>
        <v>4.487E-2</v>
      </c>
      <c r="P35" s="36">
        <f t="shared" si="0"/>
        <v>4.4871794871794872E-2</v>
      </c>
    </row>
    <row r="36" spans="13:16">
      <c r="M36" s="80">
        <v>0.27</v>
      </c>
      <c r="N36" s="81">
        <f t="shared" si="1"/>
        <v>4.3209999999999998E-2</v>
      </c>
      <c r="P36" s="36">
        <f t="shared" si="0"/>
        <v>4.3209876543209874E-2</v>
      </c>
    </row>
    <row r="37" spans="13:16">
      <c r="M37" s="80">
        <v>0.28000000000000003</v>
      </c>
      <c r="N37" s="81">
        <f t="shared" si="1"/>
        <v>4.1669999999999999E-2</v>
      </c>
      <c r="P37" s="36">
        <f t="shared" si="0"/>
        <v>4.1666666666666664E-2</v>
      </c>
    </row>
    <row r="38" spans="13:16">
      <c r="M38" s="80">
        <v>0.28999999999999998</v>
      </c>
      <c r="N38" s="81">
        <f t="shared" si="1"/>
        <v>4.0230000000000002E-2</v>
      </c>
      <c r="P38" s="36">
        <f t="shared" si="0"/>
        <v>4.0229885057471271E-2</v>
      </c>
    </row>
    <row r="39" spans="13:16">
      <c r="M39" s="80">
        <v>0.3</v>
      </c>
      <c r="N39" s="81">
        <f t="shared" si="1"/>
        <v>3.8890000000000001E-2</v>
      </c>
      <c r="P39" s="36">
        <f t="shared" si="0"/>
        <v>3.888888888888889E-2</v>
      </c>
    </row>
    <row r="40" spans="13:16">
      <c r="M40" s="80">
        <v>0.31</v>
      </c>
      <c r="N40" s="81">
        <f t="shared" si="1"/>
        <v>3.7629999999999997E-2</v>
      </c>
      <c r="P40" s="36">
        <f t="shared" si="0"/>
        <v>3.7634408602150539E-2</v>
      </c>
    </row>
    <row r="41" spans="13:16">
      <c r="M41" s="80">
        <v>0.32</v>
      </c>
      <c r="N41" s="81">
        <f t="shared" si="1"/>
        <v>3.6459999999999999E-2</v>
      </c>
      <c r="P41" s="36">
        <f t="shared" si="0"/>
        <v>3.6458333333333336E-2</v>
      </c>
    </row>
    <row r="42" spans="13:16">
      <c r="M42" s="80">
        <v>0.33</v>
      </c>
      <c r="N42" s="81">
        <f t="shared" si="1"/>
        <v>3.5349999999999999E-2</v>
      </c>
      <c r="P42" s="36">
        <f t="shared" si="0"/>
        <v>3.5353535353535352E-2</v>
      </c>
    </row>
    <row r="43" spans="13:16">
      <c r="M43" s="80">
        <v>0.34</v>
      </c>
      <c r="N43" s="81">
        <f t="shared" si="1"/>
        <v>3.431E-2</v>
      </c>
      <c r="P43" s="36">
        <f t="shared" si="0"/>
        <v>3.4313725490196074E-2</v>
      </c>
    </row>
    <row r="44" spans="13:16">
      <c r="M44" s="80">
        <v>0.35</v>
      </c>
      <c r="N44" s="81">
        <f t="shared" si="1"/>
        <v>3.3329999999999999E-2</v>
      </c>
      <c r="P44" s="36">
        <f t="shared" si="0"/>
        <v>3.3333333333333333E-2</v>
      </c>
    </row>
    <row r="45" spans="13:16">
      <c r="M45" s="80">
        <v>0.36</v>
      </c>
      <c r="N45" s="81">
        <f t="shared" si="1"/>
        <v>3.2410000000000001E-2</v>
      </c>
      <c r="P45" s="36">
        <f t="shared" si="0"/>
        <v>3.2407407407407406E-2</v>
      </c>
    </row>
    <row r="46" spans="13:16">
      <c r="M46" s="80">
        <v>0.37</v>
      </c>
      <c r="N46" s="81">
        <f t="shared" si="1"/>
        <v>3.1530000000000002E-2</v>
      </c>
      <c r="P46" s="36">
        <f t="shared" si="0"/>
        <v>3.1531531531531536E-2</v>
      </c>
    </row>
    <row r="47" spans="13:16">
      <c r="M47" s="80">
        <v>0.38</v>
      </c>
      <c r="N47" s="81">
        <f t="shared" si="1"/>
        <v>3.0700000000000002E-2</v>
      </c>
      <c r="P47" s="36">
        <f t="shared" si="0"/>
        <v>3.0701754385964918E-2</v>
      </c>
    </row>
    <row r="48" spans="13:16">
      <c r="M48" s="80">
        <v>0.39</v>
      </c>
      <c r="N48" s="81">
        <f t="shared" si="1"/>
        <v>2.9909999999999999E-2</v>
      </c>
      <c r="P48" s="36">
        <f t="shared" si="0"/>
        <v>2.9914529914529912E-2</v>
      </c>
    </row>
    <row r="49" spans="13:16">
      <c r="M49" s="80">
        <v>0.4</v>
      </c>
      <c r="N49" s="81">
        <f t="shared" si="1"/>
        <v>2.9170000000000001E-2</v>
      </c>
      <c r="P49" s="36">
        <f t="shared" si="0"/>
        <v>2.9166666666666667E-2</v>
      </c>
    </row>
    <row r="50" spans="13:16">
      <c r="M50" s="80">
        <v>0.41</v>
      </c>
      <c r="N50" s="81">
        <f t="shared" si="1"/>
        <v>2.8459999999999999E-2</v>
      </c>
      <c r="P50" s="36">
        <f t="shared" si="0"/>
        <v>2.8455284552845531E-2</v>
      </c>
    </row>
    <row r="51" spans="13:16">
      <c r="M51" s="80">
        <v>0.42</v>
      </c>
      <c r="N51" s="81">
        <f t="shared" si="1"/>
        <v>2.7779999999999999E-2</v>
      </c>
      <c r="P51" s="36">
        <f t="shared" si="0"/>
        <v>2.777777777777778E-2</v>
      </c>
    </row>
    <row r="52" spans="13:16">
      <c r="M52" s="80">
        <v>0.43</v>
      </c>
      <c r="N52" s="81">
        <f t="shared" si="1"/>
        <v>2.7130000000000001E-2</v>
      </c>
      <c r="P52" s="36">
        <f t="shared" si="0"/>
        <v>2.7131782945736437E-2</v>
      </c>
    </row>
    <row r="53" spans="13:16">
      <c r="M53" s="80">
        <v>0.44</v>
      </c>
      <c r="N53" s="81">
        <f t="shared" si="1"/>
        <v>2.6519999999999998E-2</v>
      </c>
      <c r="P53" s="36">
        <f t="shared" si="0"/>
        <v>2.6515151515151519E-2</v>
      </c>
    </row>
    <row r="54" spans="13:16">
      <c r="M54" s="80">
        <v>0.45</v>
      </c>
      <c r="N54" s="81">
        <f t="shared" si="1"/>
        <v>2.5930000000000002E-2</v>
      </c>
      <c r="P54" s="36">
        <f t="shared" si="0"/>
        <v>2.5925925925925929E-2</v>
      </c>
    </row>
    <row r="55" spans="13:16">
      <c r="M55" s="80">
        <v>0.46</v>
      </c>
      <c r="N55" s="81">
        <f t="shared" si="1"/>
        <v>2.5360000000000001E-2</v>
      </c>
      <c r="P55" s="36">
        <f t="shared" si="0"/>
        <v>2.5362318840579708E-2</v>
      </c>
    </row>
    <row r="56" spans="13:16">
      <c r="M56" s="80">
        <v>0.47</v>
      </c>
      <c r="N56" s="81">
        <f t="shared" si="1"/>
        <v>2.4819999999999998E-2</v>
      </c>
      <c r="P56" s="36">
        <f t="shared" si="0"/>
        <v>2.4822695035460994E-2</v>
      </c>
    </row>
    <row r="57" spans="13:16">
      <c r="M57" s="80">
        <v>0.48</v>
      </c>
      <c r="N57" s="81">
        <f t="shared" si="1"/>
        <v>2.4309999999999998E-2</v>
      </c>
      <c r="P57" s="36">
        <f t="shared" si="0"/>
        <v>2.4305555555555559E-2</v>
      </c>
    </row>
    <row r="58" spans="13:16">
      <c r="M58" s="80">
        <v>0.49</v>
      </c>
      <c r="N58" s="81">
        <f t="shared" si="1"/>
        <v>2.3810000000000001E-2</v>
      </c>
      <c r="P58" s="36">
        <f t="shared" si="0"/>
        <v>2.3809523809523812E-2</v>
      </c>
    </row>
    <row r="59" spans="13:16">
      <c r="M59" s="80">
        <v>0.5</v>
      </c>
      <c r="N59" s="81">
        <f t="shared" si="1"/>
        <v>2.333E-2</v>
      </c>
      <c r="P59" s="36">
        <f t="shared" si="0"/>
        <v>2.3333333333333334E-2</v>
      </c>
    </row>
    <row r="60" spans="13:16">
      <c r="M60" s="80">
        <v>0.51</v>
      </c>
      <c r="N60" s="81">
        <f t="shared" si="1"/>
        <v>2.2880000000000001E-2</v>
      </c>
      <c r="P60" s="36">
        <f t="shared" si="0"/>
        <v>2.2875816993464051E-2</v>
      </c>
    </row>
    <row r="61" spans="13:16">
      <c r="M61" s="80">
        <v>0.52</v>
      </c>
      <c r="N61" s="81">
        <f t="shared" si="1"/>
        <v>2.2440000000000002E-2</v>
      </c>
      <c r="P61" s="36">
        <f t="shared" si="0"/>
        <v>2.2435897435897436E-2</v>
      </c>
    </row>
    <row r="62" spans="13:16">
      <c r="M62" s="80">
        <v>0.53</v>
      </c>
      <c r="N62" s="81">
        <f t="shared" si="1"/>
        <v>2.2009999999999998E-2</v>
      </c>
      <c r="P62" s="36">
        <f t="shared" si="0"/>
        <v>2.20125786163522E-2</v>
      </c>
    </row>
    <row r="63" spans="13:16">
      <c r="M63" s="80">
        <v>0.54</v>
      </c>
      <c r="N63" s="81">
        <f t="shared" si="1"/>
        <v>2.1600000000000001E-2</v>
      </c>
      <c r="P63" s="36">
        <f t="shared" si="0"/>
        <v>2.1604938271604937E-2</v>
      </c>
    </row>
    <row r="64" spans="13:16">
      <c r="M64" s="80">
        <v>0.55000000000000004</v>
      </c>
      <c r="N64" s="81">
        <f t="shared" si="1"/>
        <v>2.121E-2</v>
      </c>
      <c r="P64" s="36">
        <f t="shared" si="0"/>
        <v>2.1212121212121213E-2</v>
      </c>
    </row>
    <row r="65" spans="13:16">
      <c r="M65" s="80">
        <v>0.56000000000000005</v>
      </c>
      <c r="N65" s="81">
        <f t="shared" si="1"/>
        <v>2.0830000000000001E-2</v>
      </c>
      <c r="P65" s="36">
        <f t="shared" si="0"/>
        <v>2.0833333333333332E-2</v>
      </c>
    </row>
    <row r="66" spans="13:16">
      <c r="M66" s="80">
        <v>0.56999999999999995</v>
      </c>
      <c r="N66" s="81">
        <f t="shared" si="1"/>
        <v>2.0469999999999999E-2</v>
      </c>
      <c r="P66" s="36">
        <f t="shared" si="0"/>
        <v>2.0467836257309944E-2</v>
      </c>
    </row>
    <row r="67" spans="13:16">
      <c r="M67" s="80">
        <v>0.57999999999999996</v>
      </c>
      <c r="N67" s="81">
        <f t="shared" si="1"/>
        <v>2.0109999999999999E-2</v>
      </c>
      <c r="P67" s="36">
        <f t="shared" si="0"/>
        <v>2.0114942528735635E-2</v>
      </c>
    </row>
    <row r="68" spans="13:16">
      <c r="M68" s="80">
        <v>0.59</v>
      </c>
      <c r="N68" s="81">
        <f t="shared" si="1"/>
        <v>1.9769999999999999E-2</v>
      </c>
      <c r="P68" s="36">
        <f t="shared" si="0"/>
        <v>1.977401129943503E-2</v>
      </c>
    </row>
    <row r="69" spans="13:16">
      <c r="M69" s="80">
        <v>0.6</v>
      </c>
      <c r="N69" s="81">
        <f t="shared" si="1"/>
        <v>1.9439999999999999E-2</v>
      </c>
      <c r="P69" s="36">
        <f t="shared" si="0"/>
        <v>1.9444444444444445E-2</v>
      </c>
    </row>
    <row r="70" spans="13:16">
      <c r="M70" s="80">
        <v>0.61</v>
      </c>
      <c r="N70" s="81">
        <f t="shared" si="1"/>
        <v>1.9130000000000001E-2</v>
      </c>
      <c r="P70" s="36">
        <f t="shared" si="0"/>
        <v>1.912568306010929E-2</v>
      </c>
    </row>
    <row r="71" spans="13:16">
      <c r="M71" s="80">
        <v>0.62</v>
      </c>
      <c r="N71" s="81">
        <f t="shared" si="1"/>
        <v>1.882E-2</v>
      </c>
      <c r="P71" s="36">
        <f t="shared" si="0"/>
        <v>1.8817204301075269E-2</v>
      </c>
    </row>
    <row r="72" spans="13:16">
      <c r="M72" s="80">
        <v>0.63</v>
      </c>
      <c r="N72" s="81">
        <f t="shared" si="1"/>
        <v>1.8519999999999998E-2</v>
      </c>
      <c r="P72" s="36">
        <f t="shared" si="0"/>
        <v>1.8518518518518517E-2</v>
      </c>
    </row>
    <row r="73" spans="13:16">
      <c r="M73" s="80">
        <v>0.64</v>
      </c>
      <c r="N73" s="81">
        <f t="shared" si="1"/>
        <v>1.823E-2</v>
      </c>
      <c r="P73" s="36">
        <f t="shared" ref="P73:P136" si="2">IF(M73&lt;$G$6,$B$6*$C$6*$D$6*(2/3+(M73/$G$6)*(2.5*$E$6/$F$6-2/3)),IF(M73&lt;$H$6,$B$6*$C$6*$D$6*(2.5*$E$6/$F$6),IF(M73&lt;$I$6,$B$6*$C$6*$D$6*(2.5*$E$6/$F$6)*($H$6/M73),$B$6*$C$6*$D$6*(2.5*$E$6/$F$6)*($H$6*$I$6/M73^2))))</f>
        <v>1.8229166666666668E-2</v>
      </c>
    </row>
    <row r="74" spans="13:16">
      <c r="M74" s="80">
        <v>0.65</v>
      </c>
      <c r="N74" s="81">
        <f t="shared" ref="N74:N137" si="3">ROUND(IF(P74&lt;$J$6,$J$6,P74),5)</f>
        <v>1.7950000000000001E-2</v>
      </c>
      <c r="P74" s="36">
        <f t="shared" si="2"/>
        <v>1.7948717948717947E-2</v>
      </c>
    </row>
    <row r="75" spans="13:16">
      <c r="M75" s="80">
        <v>0.66</v>
      </c>
      <c r="N75" s="81">
        <f t="shared" si="3"/>
        <v>1.7680000000000001E-2</v>
      </c>
      <c r="P75" s="36">
        <f t="shared" si="2"/>
        <v>1.7676767676767676E-2</v>
      </c>
    </row>
    <row r="76" spans="13:16">
      <c r="M76" s="80">
        <v>0.67</v>
      </c>
      <c r="N76" s="81">
        <f t="shared" si="3"/>
        <v>1.7409999999999998E-2</v>
      </c>
      <c r="P76" s="36">
        <f t="shared" si="2"/>
        <v>1.7412935323383085E-2</v>
      </c>
    </row>
    <row r="77" spans="13:16">
      <c r="M77" s="80">
        <v>0.68</v>
      </c>
      <c r="N77" s="81">
        <f t="shared" si="3"/>
        <v>1.7160000000000002E-2</v>
      </c>
      <c r="P77" s="36">
        <f t="shared" si="2"/>
        <v>1.7156862745098037E-2</v>
      </c>
    </row>
    <row r="78" spans="13:16">
      <c r="M78" s="80">
        <v>0.69</v>
      </c>
      <c r="N78" s="81">
        <f t="shared" si="3"/>
        <v>1.6910000000000001E-2</v>
      </c>
      <c r="P78" s="36">
        <f t="shared" si="2"/>
        <v>1.6908212560386476E-2</v>
      </c>
    </row>
    <row r="79" spans="13:16">
      <c r="M79" s="80">
        <v>0.7</v>
      </c>
      <c r="N79" s="81">
        <f t="shared" si="3"/>
        <v>1.6670000000000001E-2</v>
      </c>
      <c r="P79" s="36">
        <f t="shared" si="2"/>
        <v>1.6666666666666666E-2</v>
      </c>
    </row>
    <row r="80" spans="13:16">
      <c r="M80" s="80">
        <v>0.71</v>
      </c>
      <c r="N80" s="81">
        <f t="shared" si="3"/>
        <v>1.643E-2</v>
      </c>
      <c r="P80" s="36">
        <f t="shared" si="2"/>
        <v>1.6431924882629109E-2</v>
      </c>
    </row>
    <row r="81" spans="13:16">
      <c r="M81" s="80">
        <v>0.72</v>
      </c>
      <c r="N81" s="81">
        <f t="shared" si="3"/>
        <v>1.6199999999999999E-2</v>
      </c>
      <c r="P81" s="36">
        <f t="shared" si="2"/>
        <v>1.6203703703703703E-2</v>
      </c>
    </row>
    <row r="82" spans="13:16">
      <c r="M82" s="80">
        <v>0.73</v>
      </c>
      <c r="N82" s="81">
        <f t="shared" si="3"/>
        <v>1.5980000000000001E-2</v>
      </c>
      <c r="P82" s="36">
        <f t="shared" si="2"/>
        <v>1.5981735159817351E-2</v>
      </c>
    </row>
    <row r="83" spans="13:16">
      <c r="M83" s="80">
        <v>0.74</v>
      </c>
      <c r="N83" s="81">
        <f t="shared" si="3"/>
        <v>1.5769999999999999E-2</v>
      </c>
      <c r="P83" s="36">
        <f t="shared" si="2"/>
        <v>1.5765765765765768E-2</v>
      </c>
    </row>
    <row r="84" spans="13:16">
      <c r="M84" s="80">
        <v>0.75</v>
      </c>
      <c r="N84" s="81">
        <f t="shared" si="3"/>
        <v>1.5559999999999999E-2</v>
      </c>
      <c r="P84" s="36">
        <f t="shared" si="2"/>
        <v>1.5555555555555555E-2</v>
      </c>
    </row>
    <row r="85" spans="13:16">
      <c r="M85" s="80">
        <v>0.76</v>
      </c>
      <c r="N85" s="81">
        <f t="shared" si="3"/>
        <v>1.5350000000000001E-2</v>
      </c>
      <c r="P85" s="36">
        <f t="shared" si="2"/>
        <v>1.5350877192982459E-2</v>
      </c>
    </row>
    <row r="86" spans="13:16">
      <c r="M86" s="80">
        <v>0.77</v>
      </c>
      <c r="N86" s="81">
        <f t="shared" si="3"/>
        <v>1.515E-2</v>
      </c>
      <c r="P86" s="36">
        <f t="shared" si="2"/>
        <v>1.5151515151515152E-2</v>
      </c>
    </row>
    <row r="87" spans="13:16">
      <c r="M87" s="80">
        <v>0.78</v>
      </c>
      <c r="N87" s="81">
        <f t="shared" si="3"/>
        <v>1.4959999999999999E-2</v>
      </c>
      <c r="P87" s="36">
        <f t="shared" si="2"/>
        <v>1.4957264957264956E-2</v>
      </c>
    </row>
    <row r="88" spans="13:16">
      <c r="M88" s="80">
        <v>0.79</v>
      </c>
      <c r="N88" s="81">
        <f t="shared" si="3"/>
        <v>1.477E-2</v>
      </c>
      <c r="P88" s="36">
        <f t="shared" si="2"/>
        <v>1.4767932489451475E-2</v>
      </c>
    </row>
    <row r="89" spans="13:16">
      <c r="M89" s="80">
        <v>0.8</v>
      </c>
      <c r="N89" s="81">
        <f t="shared" si="3"/>
        <v>1.4579999999999999E-2</v>
      </c>
      <c r="P89" s="36">
        <f t="shared" si="2"/>
        <v>1.4583333333333334E-2</v>
      </c>
    </row>
    <row r="90" spans="13:16">
      <c r="M90" s="80">
        <v>0.81</v>
      </c>
      <c r="N90" s="81">
        <f t="shared" si="3"/>
        <v>1.44E-2</v>
      </c>
      <c r="P90" s="36">
        <f t="shared" si="2"/>
        <v>1.4403292181069959E-2</v>
      </c>
    </row>
    <row r="91" spans="13:16">
      <c r="M91" s="80">
        <v>0.82</v>
      </c>
      <c r="N91" s="81">
        <f t="shared" si="3"/>
        <v>1.423E-2</v>
      </c>
      <c r="P91" s="36">
        <f t="shared" si="2"/>
        <v>1.4227642276422765E-2</v>
      </c>
    </row>
    <row r="92" spans="13:16">
      <c r="M92" s="80">
        <v>0.83</v>
      </c>
      <c r="N92" s="81">
        <f t="shared" si="3"/>
        <v>1.406E-2</v>
      </c>
      <c r="P92" s="36">
        <f t="shared" si="2"/>
        <v>1.4056224899598395E-2</v>
      </c>
    </row>
    <row r="93" spans="13:16">
      <c r="M93" s="80">
        <v>0.84</v>
      </c>
      <c r="N93" s="81">
        <f t="shared" si="3"/>
        <v>1.4E-2</v>
      </c>
      <c r="P93" s="36">
        <f t="shared" si="2"/>
        <v>1.388888888888889E-2</v>
      </c>
    </row>
    <row r="94" spans="13:16">
      <c r="M94" s="80">
        <v>0.85</v>
      </c>
      <c r="N94" s="81">
        <f t="shared" si="3"/>
        <v>1.4E-2</v>
      </c>
      <c r="P94" s="36">
        <f t="shared" si="2"/>
        <v>1.3725490196078433E-2</v>
      </c>
    </row>
    <row r="95" spans="13:16">
      <c r="M95" s="80">
        <v>0.86</v>
      </c>
      <c r="N95" s="81">
        <f t="shared" si="3"/>
        <v>1.4E-2</v>
      </c>
      <c r="P95" s="36">
        <f t="shared" si="2"/>
        <v>1.3565891472868219E-2</v>
      </c>
    </row>
    <row r="96" spans="13:16">
      <c r="M96" s="80">
        <v>0.87</v>
      </c>
      <c r="N96" s="81">
        <f t="shared" si="3"/>
        <v>1.4E-2</v>
      </c>
      <c r="P96" s="36">
        <f t="shared" si="2"/>
        <v>1.3409961685823755E-2</v>
      </c>
    </row>
    <row r="97" spans="13:16">
      <c r="M97" s="80">
        <v>0.88</v>
      </c>
      <c r="N97" s="81">
        <f t="shared" si="3"/>
        <v>1.4E-2</v>
      </c>
      <c r="P97" s="36">
        <f t="shared" si="2"/>
        <v>1.325757575757576E-2</v>
      </c>
    </row>
    <row r="98" spans="13:16">
      <c r="M98" s="80">
        <v>0.89</v>
      </c>
      <c r="N98" s="81">
        <f t="shared" si="3"/>
        <v>1.4E-2</v>
      </c>
      <c r="P98" s="36">
        <f t="shared" si="2"/>
        <v>1.3108614232209739E-2</v>
      </c>
    </row>
    <row r="99" spans="13:16">
      <c r="M99" s="80">
        <v>0.9</v>
      </c>
      <c r="N99" s="81">
        <f t="shared" si="3"/>
        <v>1.4E-2</v>
      </c>
      <c r="P99" s="36">
        <f t="shared" si="2"/>
        <v>1.2962962962962964E-2</v>
      </c>
    </row>
    <row r="100" spans="13:16">
      <c r="M100" s="80">
        <v>0.91</v>
      </c>
      <c r="N100" s="81">
        <f t="shared" si="3"/>
        <v>1.4E-2</v>
      </c>
      <c r="P100" s="36">
        <f t="shared" si="2"/>
        <v>1.282051282051282E-2</v>
      </c>
    </row>
    <row r="101" spans="13:16">
      <c r="M101" s="80">
        <v>0.92</v>
      </c>
      <c r="N101" s="81">
        <f t="shared" si="3"/>
        <v>1.4E-2</v>
      </c>
      <c r="P101" s="36">
        <f t="shared" si="2"/>
        <v>1.2681159420289854E-2</v>
      </c>
    </row>
    <row r="102" spans="13:16">
      <c r="M102" s="80">
        <v>0.93</v>
      </c>
      <c r="N102" s="81">
        <f t="shared" si="3"/>
        <v>1.4E-2</v>
      </c>
      <c r="P102" s="36">
        <f t="shared" si="2"/>
        <v>1.2544802867383513E-2</v>
      </c>
    </row>
    <row r="103" spans="13:16">
      <c r="M103" s="80">
        <v>0.94</v>
      </c>
      <c r="N103" s="81">
        <f t="shared" si="3"/>
        <v>1.4E-2</v>
      </c>
      <c r="P103" s="36">
        <f t="shared" si="2"/>
        <v>1.2411347517730497E-2</v>
      </c>
    </row>
    <row r="104" spans="13:16">
      <c r="M104" s="80">
        <v>0.95</v>
      </c>
      <c r="N104" s="81">
        <f t="shared" si="3"/>
        <v>1.4E-2</v>
      </c>
      <c r="P104" s="36">
        <f t="shared" si="2"/>
        <v>1.2280701754385965E-2</v>
      </c>
    </row>
    <row r="105" spans="13:16">
      <c r="M105" s="80">
        <v>0.96</v>
      </c>
      <c r="N105" s="81">
        <f t="shared" si="3"/>
        <v>1.4E-2</v>
      </c>
      <c r="P105" s="36">
        <f t="shared" si="2"/>
        <v>1.215277777777778E-2</v>
      </c>
    </row>
    <row r="106" spans="13:16">
      <c r="M106" s="80">
        <v>0.97</v>
      </c>
      <c r="N106" s="81">
        <f t="shared" si="3"/>
        <v>1.4E-2</v>
      </c>
      <c r="P106" s="36">
        <f t="shared" si="2"/>
        <v>1.202749140893471E-2</v>
      </c>
    </row>
    <row r="107" spans="13:16">
      <c r="M107" s="80">
        <v>0.98</v>
      </c>
      <c r="N107" s="81">
        <f t="shared" si="3"/>
        <v>1.4E-2</v>
      </c>
      <c r="P107" s="36">
        <f t="shared" si="2"/>
        <v>1.1904761904761906E-2</v>
      </c>
    </row>
    <row r="108" spans="13:16">
      <c r="M108" s="80">
        <v>0.99</v>
      </c>
      <c r="N108" s="81">
        <f t="shared" si="3"/>
        <v>1.4E-2</v>
      </c>
      <c r="P108" s="36">
        <f t="shared" si="2"/>
        <v>1.1784511784511786E-2</v>
      </c>
    </row>
    <row r="109" spans="13:16">
      <c r="M109" s="80">
        <v>1</v>
      </c>
      <c r="N109" s="81">
        <f t="shared" si="3"/>
        <v>1.4E-2</v>
      </c>
      <c r="P109" s="36">
        <f t="shared" si="2"/>
        <v>1.1666666666666667E-2</v>
      </c>
    </row>
    <row r="110" spans="13:16">
      <c r="M110" s="80">
        <v>1.01</v>
      </c>
      <c r="N110" s="81">
        <f t="shared" si="3"/>
        <v>1.4E-2</v>
      </c>
      <c r="P110" s="36">
        <f t="shared" si="2"/>
        <v>1.1551155115511552E-2</v>
      </c>
    </row>
    <row r="111" spans="13:16">
      <c r="M111" s="80">
        <v>1.02</v>
      </c>
      <c r="N111" s="81">
        <f t="shared" si="3"/>
        <v>1.4E-2</v>
      </c>
      <c r="P111" s="36">
        <f t="shared" si="2"/>
        <v>1.1437908496732025E-2</v>
      </c>
    </row>
    <row r="112" spans="13:16">
      <c r="M112" s="80">
        <v>1.03</v>
      </c>
      <c r="N112" s="81">
        <f t="shared" si="3"/>
        <v>1.4E-2</v>
      </c>
      <c r="P112" s="36">
        <f t="shared" si="2"/>
        <v>1.1326860841423949E-2</v>
      </c>
    </row>
    <row r="113" spans="13:16">
      <c r="M113" s="80">
        <v>1.04</v>
      </c>
      <c r="N113" s="81">
        <f t="shared" si="3"/>
        <v>1.4E-2</v>
      </c>
      <c r="P113" s="36">
        <f t="shared" si="2"/>
        <v>1.1217948717948718E-2</v>
      </c>
    </row>
    <row r="114" spans="13:16">
      <c r="M114" s="80">
        <v>1.05</v>
      </c>
      <c r="N114" s="81">
        <f t="shared" si="3"/>
        <v>1.4E-2</v>
      </c>
      <c r="P114" s="36">
        <f t="shared" si="2"/>
        <v>1.1111111111111112E-2</v>
      </c>
    </row>
    <row r="115" spans="13:16">
      <c r="M115" s="80">
        <v>1.06</v>
      </c>
      <c r="N115" s="81">
        <f t="shared" si="3"/>
        <v>1.4E-2</v>
      </c>
      <c r="P115" s="36">
        <f t="shared" si="2"/>
        <v>1.10062893081761E-2</v>
      </c>
    </row>
    <row r="116" spans="13:16">
      <c r="M116" s="80">
        <v>1.07</v>
      </c>
      <c r="N116" s="81">
        <f t="shared" si="3"/>
        <v>1.4E-2</v>
      </c>
      <c r="P116" s="36">
        <f t="shared" si="2"/>
        <v>1.090342679127726E-2</v>
      </c>
    </row>
    <row r="117" spans="13:16">
      <c r="M117" s="80">
        <v>1.08</v>
      </c>
      <c r="N117" s="81">
        <f t="shared" si="3"/>
        <v>1.4E-2</v>
      </c>
      <c r="P117" s="36">
        <f t="shared" si="2"/>
        <v>1.0802469135802469E-2</v>
      </c>
    </row>
    <row r="118" spans="13:16">
      <c r="M118" s="80">
        <v>1.0900000000000001</v>
      </c>
      <c r="N118" s="81">
        <f t="shared" si="3"/>
        <v>1.4E-2</v>
      </c>
      <c r="P118" s="36">
        <f t="shared" si="2"/>
        <v>1.0703363914373088E-2</v>
      </c>
    </row>
    <row r="119" spans="13:16">
      <c r="M119" s="80">
        <v>1.1000000000000001</v>
      </c>
      <c r="N119" s="81">
        <f t="shared" si="3"/>
        <v>1.4E-2</v>
      </c>
      <c r="P119" s="36">
        <f t="shared" si="2"/>
        <v>1.0606060606060607E-2</v>
      </c>
    </row>
    <row r="120" spans="13:16">
      <c r="M120" s="80">
        <v>1.1100000000000001</v>
      </c>
      <c r="N120" s="81">
        <f t="shared" si="3"/>
        <v>1.4E-2</v>
      </c>
      <c r="P120" s="36">
        <f t="shared" si="2"/>
        <v>1.051051051051051E-2</v>
      </c>
    </row>
    <row r="121" spans="13:16">
      <c r="M121" s="80">
        <v>1.1200000000000001</v>
      </c>
      <c r="N121" s="81">
        <f t="shared" si="3"/>
        <v>1.4E-2</v>
      </c>
      <c r="P121" s="36">
        <f t="shared" si="2"/>
        <v>1.0416666666666666E-2</v>
      </c>
    </row>
    <row r="122" spans="13:16">
      <c r="M122" s="80">
        <v>1.1299999999999999</v>
      </c>
      <c r="N122" s="81">
        <f t="shared" si="3"/>
        <v>1.4E-2</v>
      </c>
      <c r="P122" s="36">
        <f t="shared" si="2"/>
        <v>1.0324483775811211E-2</v>
      </c>
    </row>
    <row r="123" spans="13:16">
      <c r="M123" s="80">
        <v>1.1399999999999999</v>
      </c>
      <c r="N123" s="81">
        <f t="shared" si="3"/>
        <v>1.4E-2</v>
      </c>
      <c r="P123" s="36">
        <f t="shared" si="2"/>
        <v>1.0233918128654972E-2</v>
      </c>
    </row>
    <row r="124" spans="13:16">
      <c r="M124" s="80">
        <v>1.1499999999999999</v>
      </c>
      <c r="N124" s="81">
        <f t="shared" si="3"/>
        <v>1.4E-2</v>
      </c>
      <c r="P124" s="36">
        <f t="shared" si="2"/>
        <v>1.0144927536231885E-2</v>
      </c>
    </row>
    <row r="125" spans="13:16">
      <c r="M125" s="80">
        <v>1.1599999999999999</v>
      </c>
      <c r="N125" s="81">
        <f t="shared" si="3"/>
        <v>1.4E-2</v>
      </c>
      <c r="P125" s="36">
        <f t="shared" si="2"/>
        <v>1.0057471264367818E-2</v>
      </c>
    </row>
    <row r="126" spans="13:16">
      <c r="M126" s="80">
        <v>1.17</v>
      </c>
      <c r="N126" s="81">
        <f t="shared" si="3"/>
        <v>1.4E-2</v>
      </c>
      <c r="P126" s="36">
        <f t="shared" si="2"/>
        <v>9.9715099715099731E-3</v>
      </c>
    </row>
    <row r="127" spans="13:16">
      <c r="M127" s="80">
        <v>1.18</v>
      </c>
      <c r="N127" s="81">
        <f t="shared" si="3"/>
        <v>1.4E-2</v>
      </c>
      <c r="P127" s="36">
        <f t="shared" si="2"/>
        <v>9.887005649717515E-3</v>
      </c>
    </row>
    <row r="128" spans="13:16">
      <c r="M128" s="80">
        <v>1.19</v>
      </c>
      <c r="N128" s="81">
        <f t="shared" si="3"/>
        <v>1.4E-2</v>
      </c>
      <c r="P128" s="36">
        <f t="shared" si="2"/>
        <v>9.8039215686274508E-3</v>
      </c>
    </row>
    <row r="129" spans="13:16">
      <c r="M129" s="80">
        <v>1.2</v>
      </c>
      <c r="N129" s="81">
        <f t="shared" si="3"/>
        <v>1.4E-2</v>
      </c>
      <c r="P129" s="36">
        <f t="shared" si="2"/>
        <v>9.7222222222222224E-3</v>
      </c>
    </row>
    <row r="130" spans="13:16">
      <c r="M130" s="80">
        <v>1.21</v>
      </c>
      <c r="N130" s="81">
        <f t="shared" si="3"/>
        <v>1.4E-2</v>
      </c>
      <c r="P130" s="36">
        <f t="shared" si="2"/>
        <v>9.5621883751109901E-3</v>
      </c>
    </row>
    <row r="131" spans="13:16">
      <c r="M131" s="80">
        <v>1.22</v>
      </c>
      <c r="N131" s="81">
        <f t="shared" si="3"/>
        <v>1.4E-2</v>
      </c>
      <c r="P131" s="36">
        <f t="shared" si="2"/>
        <v>9.4060736361193231E-3</v>
      </c>
    </row>
    <row r="132" spans="13:16">
      <c r="M132" s="80">
        <v>1.23</v>
      </c>
      <c r="N132" s="81">
        <f t="shared" si="3"/>
        <v>1.4E-2</v>
      </c>
      <c r="P132" s="36">
        <f t="shared" si="2"/>
        <v>9.253751074096107E-3</v>
      </c>
    </row>
    <row r="133" spans="13:16">
      <c r="M133" s="80">
        <v>1.24</v>
      </c>
      <c r="N133" s="81">
        <f t="shared" si="3"/>
        <v>1.4E-2</v>
      </c>
      <c r="P133" s="36">
        <f t="shared" si="2"/>
        <v>9.1050988553590013E-3</v>
      </c>
    </row>
    <row r="134" spans="13:16">
      <c r="M134" s="80">
        <v>1.25</v>
      </c>
      <c r="N134" s="81">
        <f t="shared" si="3"/>
        <v>1.4E-2</v>
      </c>
      <c r="P134" s="36">
        <f t="shared" si="2"/>
        <v>8.9600000000000009E-3</v>
      </c>
    </row>
    <row r="135" spans="13:16">
      <c r="M135" s="80">
        <v>1.26</v>
      </c>
      <c r="N135" s="81">
        <f t="shared" si="3"/>
        <v>1.4E-2</v>
      </c>
      <c r="P135" s="36">
        <f t="shared" si="2"/>
        <v>8.8183421516754845E-3</v>
      </c>
    </row>
    <row r="136" spans="13:16">
      <c r="M136" s="80">
        <v>1.27</v>
      </c>
      <c r="N136" s="81">
        <f t="shared" si="3"/>
        <v>1.4E-2</v>
      </c>
      <c r="P136" s="36">
        <f t="shared" si="2"/>
        <v>8.680017360034719E-3</v>
      </c>
    </row>
    <row r="137" spans="13:16">
      <c r="M137" s="80">
        <v>1.28</v>
      </c>
      <c r="N137" s="81">
        <f t="shared" si="3"/>
        <v>1.4E-2</v>
      </c>
      <c r="P137" s="36">
        <f t="shared" ref="P137:P200" si="4">IF(M137&lt;$G$6,$B$6*$C$6*$D$6*(2/3+(M137/$G$6)*(2.5*$E$6/$F$6-2/3)),IF(M137&lt;$H$6,$B$6*$C$6*$D$6*(2.5*$E$6/$F$6),IF(M137&lt;$I$6,$B$6*$C$6*$D$6*(2.5*$E$6/$F$6)*($H$6/M137),$B$6*$C$6*$D$6*(2.5*$E$6/$F$6)*($H$6*$I$6/M137^2))))</f>
        <v>8.5449218749999983E-3</v>
      </c>
    </row>
    <row r="138" spans="13:16">
      <c r="M138" s="80">
        <v>1.29</v>
      </c>
      <c r="N138" s="81">
        <f t="shared" ref="N138:N201" si="5">ROUND(IF(P138&lt;$J$6,$J$6,P138),5)</f>
        <v>1.4E-2</v>
      </c>
      <c r="P138" s="36">
        <f t="shared" si="4"/>
        <v>8.4129559521663351E-3</v>
      </c>
    </row>
    <row r="139" spans="13:16">
      <c r="M139" s="80">
        <v>1.3</v>
      </c>
      <c r="N139" s="81">
        <f t="shared" si="5"/>
        <v>1.4E-2</v>
      </c>
      <c r="P139" s="36">
        <f t="shared" si="4"/>
        <v>8.2840236686390518E-3</v>
      </c>
    </row>
    <row r="140" spans="13:16">
      <c r="M140" s="80">
        <v>1.31</v>
      </c>
      <c r="N140" s="81">
        <f t="shared" si="5"/>
        <v>1.4E-2</v>
      </c>
      <c r="P140" s="36">
        <f t="shared" si="4"/>
        <v>8.1580327486743195E-3</v>
      </c>
    </row>
    <row r="141" spans="13:16">
      <c r="M141" s="80">
        <v>1.32</v>
      </c>
      <c r="N141" s="81">
        <f t="shared" si="5"/>
        <v>1.4E-2</v>
      </c>
      <c r="P141" s="36">
        <f t="shared" si="4"/>
        <v>8.0348943985307612E-3</v>
      </c>
    </row>
    <row r="142" spans="13:16">
      <c r="M142" s="80">
        <v>1.33</v>
      </c>
      <c r="N142" s="81">
        <f t="shared" si="5"/>
        <v>1.4E-2</v>
      </c>
      <c r="P142" s="36">
        <f t="shared" si="4"/>
        <v>7.9145231499802137E-3</v>
      </c>
    </row>
    <row r="143" spans="13:16">
      <c r="M143" s="80">
        <v>1.34</v>
      </c>
      <c r="N143" s="81">
        <f t="shared" si="5"/>
        <v>1.4E-2</v>
      </c>
      <c r="P143" s="36">
        <f t="shared" si="4"/>
        <v>7.7968367119625737E-3</v>
      </c>
    </row>
    <row r="144" spans="13:16">
      <c r="M144" s="80">
        <v>1.35</v>
      </c>
      <c r="N144" s="81">
        <f t="shared" si="5"/>
        <v>1.4E-2</v>
      </c>
      <c r="P144" s="36">
        <f t="shared" si="4"/>
        <v>7.6817558299039773E-3</v>
      </c>
    </row>
    <row r="145" spans="13:16">
      <c r="M145" s="80">
        <v>1.36</v>
      </c>
      <c r="N145" s="81">
        <f t="shared" si="5"/>
        <v>1.4E-2</v>
      </c>
      <c r="P145" s="36">
        <f t="shared" si="4"/>
        <v>7.5692041522491338E-3</v>
      </c>
    </row>
    <row r="146" spans="13:16">
      <c r="M146" s="80">
        <v>1.37</v>
      </c>
      <c r="N146" s="81">
        <f t="shared" si="5"/>
        <v>1.4E-2</v>
      </c>
      <c r="P146" s="36">
        <f t="shared" si="4"/>
        <v>7.4591081037881602E-3</v>
      </c>
    </row>
    <row r="147" spans="13:16">
      <c r="M147" s="80">
        <v>1.38</v>
      </c>
      <c r="N147" s="81">
        <f t="shared" si="5"/>
        <v>1.4E-2</v>
      </c>
      <c r="P147" s="36">
        <f t="shared" si="4"/>
        <v>7.3513967653854248E-3</v>
      </c>
    </row>
    <row r="148" spans="13:16">
      <c r="M148" s="80">
        <v>1.39</v>
      </c>
      <c r="N148" s="81">
        <f t="shared" si="5"/>
        <v>1.4E-2</v>
      </c>
      <c r="P148" s="36">
        <f t="shared" si="4"/>
        <v>7.2460017597432858E-3</v>
      </c>
    </row>
    <row r="149" spans="13:16">
      <c r="M149" s="80">
        <v>1.4</v>
      </c>
      <c r="N149" s="81">
        <f t="shared" si="5"/>
        <v>1.4E-2</v>
      </c>
      <c r="P149" s="36">
        <f t="shared" si="4"/>
        <v>7.1428571428571435E-3</v>
      </c>
    </row>
    <row r="150" spans="13:16">
      <c r="M150" s="80">
        <v>1.41</v>
      </c>
      <c r="N150" s="81">
        <f t="shared" si="5"/>
        <v>1.4E-2</v>
      </c>
      <c r="P150" s="36">
        <f t="shared" si="4"/>
        <v>7.0418993008399986E-3</v>
      </c>
    </row>
    <row r="151" spans="13:16">
      <c r="M151" s="80">
        <v>1.42</v>
      </c>
      <c r="N151" s="81">
        <f t="shared" si="5"/>
        <v>1.4E-2</v>
      </c>
      <c r="P151" s="36">
        <f t="shared" si="4"/>
        <v>6.9430668518151162E-3</v>
      </c>
    </row>
    <row r="152" spans="13:16">
      <c r="M152" s="80">
        <v>1.43</v>
      </c>
      <c r="N152" s="81">
        <f t="shared" si="5"/>
        <v>1.4E-2</v>
      </c>
      <c r="P152" s="36">
        <f t="shared" si="4"/>
        <v>6.8463005525942608E-3</v>
      </c>
    </row>
    <row r="153" spans="13:16">
      <c r="M153" s="80">
        <v>1.44</v>
      </c>
      <c r="N153" s="81">
        <f t="shared" si="5"/>
        <v>1.4E-2</v>
      </c>
      <c r="P153" s="36">
        <f t="shared" si="4"/>
        <v>6.7515432098765437E-3</v>
      </c>
    </row>
    <row r="154" spans="13:16">
      <c r="M154" s="80">
        <v>1.45</v>
      </c>
      <c r="N154" s="81">
        <f t="shared" si="5"/>
        <v>1.4E-2</v>
      </c>
      <c r="P154" s="36">
        <f t="shared" si="4"/>
        <v>6.6587395957193821E-3</v>
      </c>
    </row>
    <row r="155" spans="13:16">
      <c r="M155" s="80">
        <v>1.46</v>
      </c>
      <c r="N155" s="81">
        <f t="shared" si="5"/>
        <v>1.4E-2</v>
      </c>
      <c r="P155" s="36">
        <f t="shared" si="4"/>
        <v>6.5678363670482283E-3</v>
      </c>
    </row>
    <row r="156" spans="13:16">
      <c r="M156" s="80">
        <v>1.47</v>
      </c>
      <c r="N156" s="81">
        <f t="shared" si="5"/>
        <v>1.4E-2</v>
      </c>
      <c r="P156" s="36">
        <f t="shared" si="4"/>
        <v>6.4787819889860704E-3</v>
      </c>
    </row>
    <row r="157" spans="13:16">
      <c r="M157" s="80">
        <v>1.48</v>
      </c>
      <c r="N157" s="81">
        <f t="shared" si="5"/>
        <v>1.4E-2</v>
      </c>
      <c r="P157" s="36">
        <f t="shared" si="4"/>
        <v>6.3915266617969322E-3</v>
      </c>
    </row>
    <row r="158" spans="13:16">
      <c r="M158" s="80">
        <v>1.49</v>
      </c>
      <c r="N158" s="81">
        <f t="shared" si="5"/>
        <v>1.4E-2</v>
      </c>
      <c r="P158" s="36">
        <f t="shared" si="4"/>
        <v>6.3060222512499441E-3</v>
      </c>
    </row>
    <row r="159" spans="13:16">
      <c r="M159" s="80">
        <v>1.5</v>
      </c>
      <c r="N159" s="81">
        <f t="shared" si="5"/>
        <v>1.4E-2</v>
      </c>
      <c r="P159" s="36">
        <f t="shared" si="4"/>
        <v>6.2222222222222227E-3</v>
      </c>
    </row>
    <row r="160" spans="13:16">
      <c r="M160" s="80">
        <v>1.51</v>
      </c>
      <c r="N160" s="81">
        <f t="shared" si="5"/>
        <v>1.4E-2</v>
      </c>
      <c r="P160" s="36">
        <f t="shared" si="4"/>
        <v>6.1400815753695015E-3</v>
      </c>
    </row>
    <row r="161" spans="13:16">
      <c r="M161" s="80">
        <v>1.52</v>
      </c>
      <c r="N161" s="81">
        <f t="shared" si="5"/>
        <v>1.4E-2</v>
      </c>
      <c r="P161" s="36">
        <f t="shared" si="4"/>
        <v>6.0595567867036005E-3</v>
      </c>
    </row>
    <row r="162" spans="13:16">
      <c r="M162" s="80">
        <v>1.53</v>
      </c>
      <c r="N162" s="81">
        <f t="shared" si="5"/>
        <v>1.4E-2</v>
      </c>
      <c r="P162" s="36">
        <f t="shared" si="4"/>
        <v>5.9806057499252425E-3</v>
      </c>
    </row>
    <row r="163" spans="13:16">
      <c r="M163" s="80">
        <v>1.54</v>
      </c>
      <c r="N163" s="81">
        <f t="shared" si="5"/>
        <v>1.4E-2</v>
      </c>
      <c r="P163" s="36">
        <f t="shared" si="4"/>
        <v>5.9031877213695403E-3</v>
      </c>
    </row>
    <row r="164" spans="13:16">
      <c r="M164" s="80">
        <v>1.55</v>
      </c>
      <c r="N164" s="81">
        <f t="shared" si="5"/>
        <v>1.4E-2</v>
      </c>
      <c r="P164" s="36">
        <f t="shared" si="4"/>
        <v>5.8272632674297598E-3</v>
      </c>
    </row>
    <row r="165" spans="13:16">
      <c r="M165" s="80">
        <v>1.56</v>
      </c>
      <c r="N165" s="81">
        <f t="shared" si="5"/>
        <v>1.4E-2</v>
      </c>
      <c r="P165" s="36">
        <f t="shared" si="4"/>
        <v>5.752794214332676E-3</v>
      </c>
    </row>
    <row r="166" spans="13:16">
      <c r="M166" s="80">
        <v>1.57</v>
      </c>
      <c r="N166" s="81">
        <f t="shared" si="5"/>
        <v>1.4E-2</v>
      </c>
      <c r="P166" s="36">
        <f t="shared" si="4"/>
        <v>5.6797436001460502E-3</v>
      </c>
    </row>
    <row r="167" spans="13:16">
      <c r="M167" s="80">
        <v>1.58</v>
      </c>
      <c r="N167" s="81">
        <f t="shared" si="5"/>
        <v>1.4E-2</v>
      </c>
      <c r="P167" s="36">
        <f t="shared" si="4"/>
        <v>5.6080756289056235E-3</v>
      </c>
    </row>
    <row r="168" spans="13:16">
      <c r="M168" s="80">
        <v>1.59</v>
      </c>
      <c r="N168" s="81">
        <f t="shared" si="5"/>
        <v>1.4E-2</v>
      </c>
      <c r="P168" s="36">
        <f t="shared" si="4"/>
        <v>5.5377556267552702E-3</v>
      </c>
    </row>
    <row r="169" spans="13:16">
      <c r="M169" s="80">
        <v>1.6</v>
      </c>
      <c r="N169" s="81">
        <f t="shared" si="5"/>
        <v>1.4E-2</v>
      </c>
      <c r="P169" s="36">
        <f t="shared" si="4"/>
        <v>5.4687499999999988E-3</v>
      </c>
    </row>
    <row r="170" spans="13:16">
      <c r="M170" s="80">
        <v>1.61</v>
      </c>
      <c r="N170" s="81">
        <f t="shared" si="5"/>
        <v>1.4E-2</v>
      </c>
      <c r="P170" s="36">
        <f t="shared" si="4"/>
        <v>5.4010261949770455E-3</v>
      </c>
    </row>
    <row r="171" spans="13:16">
      <c r="M171" s="80">
        <v>1.62</v>
      </c>
      <c r="N171" s="81">
        <f t="shared" si="5"/>
        <v>1.4E-2</v>
      </c>
      <c r="P171" s="36">
        <f t="shared" si="4"/>
        <v>5.3345526596555396E-3</v>
      </c>
    </row>
    <row r="172" spans="13:16">
      <c r="M172" s="80">
        <v>1.63</v>
      </c>
      <c r="N172" s="81">
        <f t="shared" si="5"/>
        <v>1.4E-2</v>
      </c>
      <c r="P172" s="36">
        <f t="shared" si="4"/>
        <v>5.2692988068801993E-3</v>
      </c>
    </row>
    <row r="173" spans="13:16">
      <c r="M173" s="80">
        <v>1.64</v>
      </c>
      <c r="N173" s="81">
        <f t="shared" si="5"/>
        <v>1.4E-2</v>
      </c>
      <c r="P173" s="36">
        <f t="shared" si="4"/>
        <v>5.2052349791790612E-3</v>
      </c>
    </row>
    <row r="174" spans="13:16">
      <c r="M174" s="80">
        <v>1.65</v>
      </c>
      <c r="N174" s="81">
        <f t="shared" si="5"/>
        <v>1.4E-2</v>
      </c>
      <c r="P174" s="36">
        <f t="shared" si="4"/>
        <v>5.1423324150596883E-3</v>
      </c>
    </row>
    <row r="175" spans="13:16">
      <c r="M175" s="80">
        <v>1.66</v>
      </c>
      <c r="N175" s="81">
        <f t="shared" si="5"/>
        <v>1.4E-2</v>
      </c>
      <c r="P175" s="36">
        <f t="shared" si="4"/>
        <v>5.0805632167223117E-3</v>
      </c>
    </row>
    <row r="176" spans="13:16">
      <c r="M176" s="80">
        <v>1.67</v>
      </c>
      <c r="N176" s="81">
        <f t="shared" si="5"/>
        <v>1.4E-2</v>
      </c>
      <c r="P176" s="36">
        <f t="shared" si="4"/>
        <v>5.0199003191222346E-3</v>
      </c>
    </row>
    <row r="177" spans="13:16">
      <c r="M177" s="80">
        <v>1.68</v>
      </c>
      <c r="N177" s="81">
        <f t="shared" si="5"/>
        <v>1.4E-2</v>
      </c>
      <c r="P177" s="36">
        <f t="shared" si="4"/>
        <v>4.9603174603174609E-3</v>
      </c>
    </row>
    <row r="178" spans="13:16">
      <c r="M178" s="80">
        <v>1.69</v>
      </c>
      <c r="N178" s="81">
        <f t="shared" si="5"/>
        <v>1.4E-2</v>
      </c>
      <c r="P178" s="36">
        <f t="shared" si="4"/>
        <v>4.9017891530408605E-3</v>
      </c>
    </row>
    <row r="179" spans="13:16">
      <c r="M179" s="80">
        <v>1.7</v>
      </c>
      <c r="N179" s="81">
        <f t="shared" si="5"/>
        <v>1.4E-2</v>
      </c>
      <c r="P179" s="36">
        <f t="shared" si="4"/>
        <v>4.8442906574394469E-3</v>
      </c>
    </row>
    <row r="180" spans="13:16">
      <c r="M180" s="80">
        <v>1.71</v>
      </c>
      <c r="N180" s="81">
        <f t="shared" si="5"/>
        <v>1.4E-2</v>
      </c>
      <c r="P180" s="36">
        <f t="shared" si="4"/>
        <v>4.7877979549263028E-3</v>
      </c>
    </row>
    <row r="181" spans="13:16">
      <c r="M181" s="80">
        <v>1.72</v>
      </c>
      <c r="N181" s="81">
        <f t="shared" si="5"/>
        <v>1.4E-2</v>
      </c>
      <c r="P181" s="36">
        <f t="shared" si="4"/>
        <v>4.7322877230935641E-3</v>
      </c>
    </row>
    <row r="182" spans="13:16">
      <c r="M182" s="80">
        <v>1.73</v>
      </c>
      <c r="N182" s="81">
        <f t="shared" si="5"/>
        <v>1.4E-2</v>
      </c>
      <c r="P182" s="36">
        <f t="shared" si="4"/>
        <v>4.6777373116375417E-3</v>
      </c>
    </row>
    <row r="183" spans="13:16">
      <c r="M183" s="80">
        <v>1.74</v>
      </c>
      <c r="N183" s="81">
        <f t="shared" si="5"/>
        <v>1.4E-2</v>
      </c>
      <c r="P183" s="36">
        <f t="shared" si="4"/>
        <v>4.6241247192495708E-3</v>
      </c>
    </row>
    <row r="184" spans="13:16">
      <c r="M184" s="80">
        <v>1.75</v>
      </c>
      <c r="N184" s="81">
        <f t="shared" si="5"/>
        <v>1.4E-2</v>
      </c>
      <c r="P184" s="36">
        <f t="shared" si="4"/>
        <v>4.5714285714285718E-3</v>
      </c>
    </row>
    <row r="185" spans="13:16">
      <c r="M185" s="80">
        <v>1.76</v>
      </c>
      <c r="N185" s="81">
        <f t="shared" si="5"/>
        <v>1.4E-2</v>
      </c>
      <c r="P185" s="36">
        <f t="shared" si="4"/>
        <v>4.5196280991735543E-3</v>
      </c>
    </row>
    <row r="186" spans="13:16">
      <c r="M186" s="80">
        <v>1.77</v>
      </c>
      <c r="N186" s="81">
        <f t="shared" si="5"/>
        <v>1.4E-2</v>
      </c>
      <c r="P186" s="36">
        <f t="shared" si="4"/>
        <v>4.4687031185163904E-3</v>
      </c>
    </row>
    <row r="187" spans="13:16">
      <c r="M187" s="80">
        <v>1.78</v>
      </c>
      <c r="N187" s="81">
        <f t="shared" si="5"/>
        <v>1.4E-2</v>
      </c>
      <c r="P187" s="36">
        <f t="shared" si="4"/>
        <v>4.4186340108572147E-3</v>
      </c>
    </row>
    <row r="188" spans="13:16">
      <c r="M188" s="80">
        <v>1.79</v>
      </c>
      <c r="N188" s="81">
        <f t="shared" si="5"/>
        <v>1.4E-2</v>
      </c>
      <c r="P188" s="36">
        <f t="shared" si="4"/>
        <v>4.3694017040666645E-3</v>
      </c>
    </row>
    <row r="189" spans="13:16">
      <c r="M189" s="80">
        <v>1.8</v>
      </c>
      <c r="N189" s="81">
        <f t="shared" si="5"/>
        <v>1.4E-2</v>
      </c>
      <c r="P189" s="36">
        <f t="shared" si="4"/>
        <v>4.3209876543209872E-3</v>
      </c>
    </row>
    <row r="190" spans="13:16">
      <c r="M190" s="80">
        <v>1.81</v>
      </c>
      <c r="N190" s="81">
        <f t="shared" si="5"/>
        <v>1.4E-2</v>
      </c>
      <c r="P190" s="36">
        <f t="shared" si="4"/>
        <v>4.2733738286377092E-3</v>
      </c>
    </row>
    <row r="191" spans="13:16">
      <c r="M191" s="80">
        <v>1.82</v>
      </c>
      <c r="N191" s="81">
        <f t="shared" si="5"/>
        <v>1.4E-2</v>
      </c>
      <c r="P191" s="36">
        <f t="shared" si="4"/>
        <v>4.2265426880811491E-3</v>
      </c>
    </row>
    <row r="192" spans="13:16">
      <c r="M192" s="80">
        <v>1.83</v>
      </c>
      <c r="N192" s="81">
        <f t="shared" si="5"/>
        <v>1.4E-2</v>
      </c>
      <c r="P192" s="36">
        <f t="shared" si="4"/>
        <v>4.1804771716085877E-3</v>
      </c>
    </row>
    <row r="193" spans="13:16">
      <c r="M193" s="80">
        <v>1.84</v>
      </c>
      <c r="N193" s="81">
        <f t="shared" si="5"/>
        <v>1.4E-2</v>
      </c>
      <c r="P193" s="36">
        <f t="shared" si="4"/>
        <v>4.1351606805293002E-3</v>
      </c>
    </row>
    <row r="194" spans="13:16">
      <c r="M194" s="80">
        <v>1.85</v>
      </c>
      <c r="N194" s="81">
        <f t="shared" si="5"/>
        <v>1.4E-2</v>
      </c>
      <c r="P194" s="36">
        <f t="shared" si="4"/>
        <v>4.0905770635500356E-3</v>
      </c>
    </row>
    <row r="195" spans="13:16">
      <c r="M195" s="80">
        <v>1.86</v>
      </c>
      <c r="N195" s="81">
        <f t="shared" si="5"/>
        <v>1.4E-2</v>
      </c>
      <c r="P195" s="36">
        <f t="shared" si="4"/>
        <v>4.0467106023817784E-3</v>
      </c>
    </row>
    <row r="196" spans="13:16">
      <c r="M196" s="80">
        <v>1.87</v>
      </c>
      <c r="N196" s="81">
        <f t="shared" si="5"/>
        <v>1.4E-2</v>
      </c>
      <c r="P196" s="36">
        <f t="shared" si="4"/>
        <v>4.0035459978838388E-3</v>
      </c>
    </row>
    <row r="197" spans="13:16">
      <c r="M197" s="80">
        <v>1.88</v>
      </c>
      <c r="N197" s="81">
        <f t="shared" si="5"/>
        <v>1.4E-2</v>
      </c>
      <c r="P197" s="36">
        <f t="shared" si="4"/>
        <v>3.9610683567224995E-3</v>
      </c>
    </row>
    <row r="198" spans="13:16">
      <c r="M198" s="80">
        <v>1.89</v>
      </c>
      <c r="N198" s="81">
        <f t="shared" si="5"/>
        <v>1.4E-2</v>
      </c>
      <c r="P198" s="36">
        <f t="shared" si="4"/>
        <v>3.9192631785224382E-3</v>
      </c>
    </row>
    <row r="199" spans="13:16">
      <c r="M199" s="80">
        <v>1.9</v>
      </c>
      <c r="N199" s="81">
        <f t="shared" si="5"/>
        <v>1.4E-2</v>
      </c>
      <c r="P199" s="36">
        <f t="shared" si="4"/>
        <v>3.8781163434903048E-3</v>
      </c>
    </row>
    <row r="200" spans="13:16">
      <c r="M200" s="80">
        <v>1.91</v>
      </c>
      <c r="N200" s="81">
        <f t="shared" si="5"/>
        <v>1.4E-2</v>
      </c>
      <c r="P200" s="36">
        <f t="shared" si="4"/>
        <v>3.8376141004906666E-3</v>
      </c>
    </row>
    <row r="201" spans="13:16">
      <c r="M201" s="80">
        <v>1.92</v>
      </c>
      <c r="N201" s="81">
        <f t="shared" si="5"/>
        <v>1.4E-2</v>
      </c>
      <c r="P201" s="36">
        <f t="shared" ref="P201:P264" si="6">IF(M201&lt;$G$6,$B$6*$C$6*$D$6*(2/3+(M201/$G$6)*(2.5*$E$6/$F$6-2/3)),IF(M201&lt;$H$6,$B$6*$C$6*$D$6*(2.5*$E$6/$F$6),IF(M201&lt;$I$6,$B$6*$C$6*$D$6*(2.5*$E$6/$F$6)*($H$6/M201),$B$6*$C$6*$D$6*(2.5*$E$6/$F$6)*($H$6*$I$6/M201^2))))</f>
        <v>3.7977430555555555E-3</v>
      </c>
    </row>
    <row r="202" spans="13:16">
      <c r="M202" s="80">
        <v>1.93</v>
      </c>
      <c r="N202" s="81">
        <f t="shared" ref="N202:N265" si="7">ROUND(IF(P202&lt;$J$6,$J$6,P202),5)</f>
        <v>1.4E-2</v>
      </c>
      <c r="P202" s="36">
        <f t="shared" si="6"/>
        <v>3.7584901608096861E-3</v>
      </c>
    </row>
    <row r="203" spans="13:16">
      <c r="M203" s="80">
        <v>1.94</v>
      </c>
      <c r="N203" s="81">
        <f t="shared" si="7"/>
        <v>1.4E-2</v>
      </c>
      <c r="P203" s="36">
        <f t="shared" si="6"/>
        <v>3.71984270379424E-3</v>
      </c>
    </row>
    <row r="204" spans="13:16">
      <c r="M204" s="80">
        <v>1.95</v>
      </c>
      <c r="N204" s="81">
        <f t="shared" si="7"/>
        <v>1.4E-2</v>
      </c>
      <c r="P204" s="36">
        <f t="shared" si="6"/>
        <v>3.6817882971729127E-3</v>
      </c>
    </row>
    <row r="205" spans="13:16">
      <c r="M205" s="80">
        <v>1.96</v>
      </c>
      <c r="N205" s="81">
        <f t="shared" si="7"/>
        <v>1.4E-2</v>
      </c>
      <c r="P205" s="36">
        <f t="shared" si="6"/>
        <v>3.644314868804665E-3</v>
      </c>
    </row>
    <row r="206" spans="13:16">
      <c r="M206" s="80">
        <v>1.97</v>
      </c>
      <c r="N206" s="81">
        <f t="shared" si="7"/>
        <v>1.4E-2</v>
      </c>
      <c r="P206" s="36">
        <f t="shared" si="6"/>
        <v>3.6074106521683117E-3</v>
      </c>
    </row>
    <row r="207" spans="13:16">
      <c r="M207" s="80">
        <v>1.98</v>
      </c>
      <c r="N207" s="81">
        <f t="shared" si="7"/>
        <v>1.4E-2</v>
      </c>
      <c r="P207" s="36">
        <f t="shared" si="6"/>
        <v>3.5710641771247837E-3</v>
      </c>
    </row>
    <row r="208" spans="13:16">
      <c r="M208" s="80">
        <v>1.99</v>
      </c>
      <c r="N208" s="81">
        <f t="shared" si="7"/>
        <v>1.4E-2</v>
      </c>
      <c r="P208" s="36">
        <f t="shared" si="6"/>
        <v>3.5352642610035102E-3</v>
      </c>
    </row>
    <row r="209" spans="13:16">
      <c r="M209" s="80">
        <v>2</v>
      </c>
      <c r="N209" s="81">
        <f t="shared" si="7"/>
        <v>1.4E-2</v>
      </c>
      <c r="P209" s="36">
        <f t="shared" si="6"/>
        <v>3.5000000000000001E-3</v>
      </c>
    </row>
    <row r="210" spans="13:16">
      <c r="M210" s="80">
        <v>2.0099999999999998</v>
      </c>
      <c r="N210" s="81">
        <f t="shared" si="7"/>
        <v>1.4E-2</v>
      </c>
      <c r="P210" s="36">
        <f t="shared" si="6"/>
        <v>3.4652607608722566E-3</v>
      </c>
    </row>
    <row r="211" spans="13:16">
      <c r="M211" s="80">
        <v>2.02</v>
      </c>
      <c r="N211" s="81">
        <f t="shared" si="7"/>
        <v>1.4E-2</v>
      </c>
      <c r="P211" s="36">
        <f t="shared" si="6"/>
        <v>3.4310361729242233E-3</v>
      </c>
    </row>
    <row r="212" spans="13:16">
      <c r="M212" s="80">
        <v>2.0299999999999998</v>
      </c>
      <c r="N212" s="81">
        <f t="shared" si="7"/>
        <v>1.4E-2</v>
      </c>
      <c r="P212" s="36">
        <f t="shared" si="6"/>
        <v>3.3973161202649916E-3</v>
      </c>
    </row>
    <row r="213" spans="13:16">
      <c r="M213" s="80">
        <v>2.04</v>
      </c>
      <c r="N213" s="81">
        <f t="shared" si="7"/>
        <v>1.4E-2</v>
      </c>
      <c r="P213" s="36">
        <f t="shared" si="6"/>
        <v>3.3640907343329492E-3</v>
      </c>
    </row>
    <row r="214" spans="13:16">
      <c r="M214" s="80">
        <v>2.0499999999999998</v>
      </c>
      <c r="N214" s="81">
        <f t="shared" si="7"/>
        <v>1.4E-2</v>
      </c>
      <c r="P214" s="36">
        <f t="shared" si="6"/>
        <v>3.3313503866745984E-3</v>
      </c>
    </row>
    <row r="215" spans="13:16">
      <c r="M215" s="80">
        <v>2.06</v>
      </c>
      <c r="N215" s="81">
        <f t="shared" si="7"/>
        <v>1.4E-2</v>
      </c>
      <c r="P215" s="36">
        <f t="shared" si="6"/>
        <v>3.2990856819681406E-3</v>
      </c>
    </row>
    <row r="216" spans="13:16">
      <c r="M216" s="80">
        <v>2.0699999999999998</v>
      </c>
      <c r="N216" s="81">
        <f t="shared" si="7"/>
        <v>1.4E-2</v>
      </c>
      <c r="P216" s="36">
        <f t="shared" si="6"/>
        <v>3.2672874512824105E-3</v>
      </c>
    </row>
    <row r="217" spans="13:16">
      <c r="M217" s="80">
        <v>2.08</v>
      </c>
      <c r="N217" s="81">
        <f t="shared" si="7"/>
        <v>1.4E-2</v>
      </c>
      <c r="P217" s="36">
        <f t="shared" si="6"/>
        <v>3.2359467455621298E-3</v>
      </c>
    </row>
    <row r="218" spans="13:16">
      <c r="M218" s="80">
        <v>2.09</v>
      </c>
      <c r="N218" s="81">
        <f t="shared" si="7"/>
        <v>1.4E-2</v>
      </c>
      <c r="P218" s="36">
        <f t="shared" si="6"/>
        <v>3.2050548293308312E-3</v>
      </c>
    </row>
    <row r="219" spans="13:16">
      <c r="M219" s="80">
        <v>2.1</v>
      </c>
      <c r="N219" s="81">
        <f t="shared" si="7"/>
        <v>1.4E-2</v>
      </c>
      <c r="P219" s="36">
        <f t="shared" si="6"/>
        <v>3.1746031746031746E-3</v>
      </c>
    </row>
    <row r="220" spans="13:16">
      <c r="M220" s="80">
        <v>2.11</v>
      </c>
      <c r="N220" s="81">
        <f t="shared" si="7"/>
        <v>1.4E-2</v>
      </c>
      <c r="P220" s="36">
        <f t="shared" si="6"/>
        <v>3.1445834549987651E-3</v>
      </c>
    </row>
    <row r="221" spans="13:16">
      <c r="M221" s="80">
        <v>2.12</v>
      </c>
      <c r="N221" s="81">
        <f t="shared" si="7"/>
        <v>1.4E-2</v>
      </c>
      <c r="P221" s="36">
        <f t="shared" si="6"/>
        <v>3.1149875400498395E-3</v>
      </c>
    </row>
    <row r="222" spans="13:16">
      <c r="M222" s="80">
        <v>2.13</v>
      </c>
      <c r="N222" s="81">
        <f t="shared" si="7"/>
        <v>1.4E-2</v>
      </c>
      <c r="P222" s="36">
        <f t="shared" si="6"/>
        <v>3.0858074896956077E-3</v>
      </c>
    </row>
    <row r="223" spans="13:16">
      <c r="M223" s="80">
        <v>2.14</v>
      </c>
      <c r="N223" s="81">
        <f t="shared" si="7"/>
        <v>1.4E-2</v>
      </c>
      <c r="P223" s="36">
        <f t="shared" si="6"/>
        <v>3.0570355489562408E-3</v>
      </c>
    </row>
    <row r="224" spans="13:16">
      <c r="M224" s="80">
        <v>2.15</v>
      </c>
      <c r="N224" s="81">
        <f t="shared" si="7"/>
        <v>1.4E-2</v>
      </c>
      <c r="P224" s="36">
        <f t="shared" si="6"/>
        <v>3.0286641427798812E-3</v>
      </c>
    </row>
    <row r="225" spans="13:16">
      <c r="M225" s="80">
        <v>2.16</v>
      </c>
      <c r="N225" s="81">
        <f t="shared" si="7"/>
        <v>1.4E-2</v>
      </c>
      <c r="P225" s="36">
        <f t="shared" si="6"/>
        <v>3.0006858710562414E-3</v>
      </c>
    </row>
    <row r="226" spans="13:16">
      <c r="M226" s="80">
        <v>2.17</v>
      </c>
      <c r="N226" s="81">
        <f t="shared" si="7"/>
        <v>1.4E-2</v>
      </c>
      <c r="P226" s="36">
        <f t="shared" si="6"/>
        <v>2.9730935037906941E-3</v>
      </c>
    </row>
    <row r="227" spans="13:16">
      <c r="M227" s="80">
        <v>2.1800000000000002</v>
      </c>
      <c r="N227" s="81">
        <f t="shared" si="7"/>
        <v>1.4E-2</v>
      </c>
      <c r="P227" s="36">
        <f t="shared" si="6"/>
        <v>2.9458799764329599E-3</v>
      </c>
    </row>
    <row r="228" spans="13:16">
      <c r="M228" s="80">
        <v>2.19</v>
      </c>
      <c r="N228" s="81">
        <f t="shared" si="7"/>
        <v>1.4E-2</v>
      </c>
      <c r="P228" s="36">
        <f t="shared" si="6"/>
        <v>2.9190383853547673E-3</v>
      </c>
    </row>
    <row r="229" spans="13:16">
      <c r="M229" s="80">
        <v>2.2000000000000002</v>
      </c>
      <c r="N229" s="81">
        <f t="shared" si="7"/>
        <v>1.4E-2</v>
      </c>
      <c r="P229" s="36">
        <f t="shared" si="6"/>
        <v>2.8925619834710738E-3</v>
      </c>
    </row>
    <row r="230" spans="13:16">
      <c r="M230" s="80">
        <v>2.21</v>
      </c>
      <c r="N230" s="81">
        <f t="shared" si="7"/>
        <v>1.4E-2</v>
      </c>
      <c r="P230" s="36">
        <f t="shared" si="6"/>
        <v>2.8664441759996724E-3</v>
      </c>
    </row>
    <row r="231" spans="13:16">
      <c r="M231" s="80">
        <v>2.2200000000000002</v>
      </c>
      <c r="N231" s="81">
        <f t="shared" si="7"/>
        <v>1.4E-2</v>
      </c>
      <c r="P231" s="36">
        <f t="shared" si="6"/>
        <v>2.8406785163541917E-3</v>
      </c>
    </row>
    <row r="232" spans="13:16">
      <c r="M232" s="80">
        <v>2.23</v>
      </c>
      <c r="N232" s="81">
        <f t="shared" si="7"/>
        <v>1.4E-2</v>
      </c>
      <c r="P232" s="36">
        <f t="shared" si="6"/>
        <v>2.8152587021657385E-3</v>
      </c>
    </row>
    <row r="233" spans="13:16">
      <c r="M233" s="80">
        <v>2.2400000000000002</v>
      </c>
      <c r="N233" s="81">
        <f t="shared" si="7"/>
        <v>1.4E-2</v>
      </c>
      <c r="P233" s="36">
        <f t="shared" si="6"/>
        <v>2.7901785714285711E-3</v>
      </c>
    </row>
    <row r="234" spans="13:16">
      <c r="M234" s="80">
        <v>2.25</v>
      </c>
      <c r="N234" s="81">
        <f t="shared" si="7"/>
        <v>1.4E-2</v>
      </c>
      <c r="P234" s="36">
        <f t="shared" si="6"/>
        <v>2.765432098765432E-3</v>
      </c>
    </row>
    <row r="235" spans="13:16">
      <c r="M235" s="80">
        <v>2.2599999999999998</v>
      </c>
      <c r="N235" s="81">
        <f t="shared" si="7"/>
        <v>1.4E-2</v>
      </c>
      <c r="P235" s="36">
        <f t="shared" si="6"/>
        <v>2.7410133918082864E-3</v>
      </c>
    </row>
    <row r="236" spans="13:16">
      <c r="M236" s="80">
        <v>2.27</v>
      </c>
      <c r="N236" s="81">
        <f t="shared" si="7"/>
        <v>1.4E-2</v>
      </c>
      <c r="P236" s="36">
        <f t="shared" si="6"/>
        <v>2.7169166876904269E-3</v>
      </c>
    </row>
    <row r="237" spans="13:16">
      <c r="M237" s="80">
        <v>2.2799999999999998</v>
      </c>
      <c r="N237" s="81">
        <f t="shared" si="7"/>
        <v>1.4E-2</v>
      </c>
      <c r="P237" s="36">
        <f t="shared" si="6"/>
        <v>2.6931363496460452E-3</v>
      </c>
    </row>
    <row r="238" spans="13:16">
      <c r="M238" s="80">
        <v>2.29</v>
      </c>
      <c r="N238" s="81">
        <f t="shared" si="7"/>
        <v>1.4E-2</v>
      </c>
      <c r="P238" s="36">
        <f t="shared" si="6"/>
        <v>2.6696668637135068E-3</v>
      </c>
    </row>
    <row r="239" spans="13:16">
      <c r="M239" s="80">
        <v>2.2999999999999998</v>
      </c>
      <c r="N239" s="81">
        <f t="shared" si="7"/>
        <v>1.4E-2</v>
      </c>
      <c r="P239" s="36">
        <f t="shared" si="6"/>
        <v>2.646502835538753E-3</v>
      </c>
    </row>
    <row r="240" spans="13:16">
      <c r="M240" s="80">
        <v>2.31</v>
      </c>
      <c r="N240" s="81">
        <f t="shared" si="7"/>
        <v>1.4E-2</v>
      </c>
      <c r="P240" s="36">
        <f t="shared" si="6"/>
        <v>2.6236389872753506E-3</v>
      </c>
    </row>
    <row r="241" spans="13:16">
      <c r="M241" s="80">
        <v>2.3199999999999998</v>
      </c>
      <c r="N241" s="81">
        <f t="shared" si="7"/>
        <v>1.4E-2</v>
      </c>
      <c r="P241" s="36">
        <f t="shared" si="6"/>
        <v>2.6010701545778839E-3</v>
      </c>
    </row>
    <row r="242" spans="13:16">
      <c r="M242" s="80">
        <v>2.33</v>
      </c>
      <c r="N242" s="81">
        <f t="shared" si="7"/>
        <v>1.4E-2</v>
      </c>
      <c r="P242" s="36">
        <f t="shared" si="6"/>
        <v>2.578791283685461E-3</v>
      </c>
    </row>
    <row r="243" spans="13:16">
      <c r="M243" s="80">
        <v>2.34</v>
      </c>
      <c r="N243" s="81">
        <f t="shared" si="7"/>
        <v>1.4E-2</v>
      </c>
      <c r="P243" s="36">
        <f t="shared" si="6"/>
        <v>2.5567974285923009E-3</v>
      </c>
    </row>
    <row r="244" spans="13:16">
      <c r="M244" s="80">
        <v>2.35</v>
      </c>
      <c r="N244" s="81">
        <f t="shared" si="7"/>
        <v>1.4E-2</v>
      </c>
      <c r="P244" s="36">
        <f t="shared" si="6"/>
        <v>2.5350837483023988E-3</v>
      </c>
    </row>
    <row r="245" spans="13:16">
      <c r="M245" s="80">
        <v>2.36</v>
      </c>
      <c r="N245" s="81">
        <f t="shared" si="7"/>
        <v>1.4E-2</v>
      </c>
      <c r="P245" s="36">
        <f t="shared" si="6"/>
        <v>2.5136455041654699E-3</v>
      </c>
    </row>
    <row r="246" spans="13:16">
      <c r="M246" s="80">
        <v>2.37</v>
      </c>
      <c r="N246" s="81">
        <f t="shared" si="7"/>
        <v>1.4E-2</v>
      </c>
      <c r="P246" s="36">
        <f t="shared" si="6"/>
        <v>2.4924780572913884E-3</v>
      </c>
    </row>
    <row r="247" spans="13:16">
      <c r="M247" s="80">
        <v>2.38</v>
      </c>
      <c r="N247" s="81">
        <f t="shared" si="7"/>
        <v>1.4E-2</v>
      </c>
      <c r="P247" s="36">
        <f t="shared" si="6"/>
        <v>2.4715768660405341E-3</v>
      </c>
    </row>
    <row r="248" spans="13:16">
      <c r="M248" s="80">
        <v>2.39</v>
      </c>
      <c r="N248" s="81">
        <f t="shared" si="7"/>
        <v>1.4E-2</v>
      </c>
      <c r="P248" s="36">
        <f t="shared" si="6"/>
        <v>2.4509374835874724E-3</v>
      </c>
    </row>
    <row r="249" spans="13:16">
      <c r="M249" s="80">
        <v>2.4</v>
      </c>
      <c r="N249" s="81">
        <f t="shared" si="7"/>
        <v>1.4E-2</v>
      </c>
      <c r="P249" s="36">
        <f t="shared" si="6"/>
        <v>2.4305555555555556E-3</v>
      </c>
    </row>
    <row r="250" spans="13:16">
      <c r="M250" s="80">
        <v>2.41</v>
      </c>
      <c r="N250" s="81">
        <f t="shared" si="7"/>
        <v>1.4E-2</v>
      </c>
      <c r="P250" s="36">
        <f t="shared" si="6"/>
        <v>2.4104268177200803E-3</v>
      </c>
    </row>
    <row r="251" spans="13:16">
      <c r="M251" s="80">
        <v>2.42</v>
      </c>
      <c r="N251" s="81">
        <f t="shared" si="7"/>
        <v>1.4E-2</v>
      </c>
      <c r="P251" s="36">
        <f t="shared" si="6"/>
        <v>2.3905470937777475E-3</v>
      </c>
    </row>
    <row r="252" spans="13:16">
      <c r="M252" s="80">
        <v>2.4300000000000002</v>
      </c>
      <c r="N252" s="81">
        <f t="shared" si="7"/>
        <v>1.4E-2</v>
      </c>
      <c r="P252" s="36">
        <f t="shared" si="6"/>
        <v>2.3709122931802398E-3</v>
      </c>
    </row>
    <row r="253" spans="13:16">
      <c r="M253" s="80">
        <v>2.44</v>
      </c>
      <c r="N253" s="81">
        <f t="shared" si="7"/>
        <v>1.4E-2</v>
      </c>
      <c r="P253" s="36">
        <f t="shared" si="6"/>
        <v>2.3515184090298308E-3</v>
      </c>
    </row>
    <row r="254" spans="13:16">
      <c r="M254" s="80">
        <v>2.4500000000000002</v>
      </c>
      <c r="N254" s="81">
        <f t="shared" si="7"/>
        <v>1.4E-2</v>
      </c>
      <c r="P254" s="36">
        <f t="shared" si="6"/>
        <v>2.332361516034985E-3</v>
      </c>
    </row>
    <row r="255" spans="13:16">
      <c r="M255" s="80">
        <v>2.46</v>
      </c>
      <c r="N255" s="81">
        <f t="shared" si="7"/>
        <v>1.4E-2</v>
      </c>
      <c r="P255" s="36">
        <f t="shared" si="6"/>
        <v>2.3134377685240268E-3</v>
      </c>
    </row>
    <row r="256" spans="13:16">
      <c r="M256" s="80">
        <v>2.4700000000000002</v>
      </c>
      <c r="N256" s="81">
        <f t="shared" si="7"/>
        <v>1.4E-2</v>
      </c>
      <c r="P256" s="36">
        <f t="shared" si="6"/>
        <v>2.2947433985149729E-3</v>
      </c>
    </row>
    <row r="257" spans="13:16">
      <c r="M257" s="80">
        <v>2.48</v>
      </c>
      <c r="N257" s="81">
        <f t="shared" si="7"/>
        <v>1.4E-2</v>
      </c>
      <c r="P257" s="36">
        <f t="shared" si="6"/>
        <v>2.2762747138397503E-3</v>
      </c>
    </row>
    <row r="258" spans="13:16">
      <c r="M258" s="80">
        <v>2.4900000000000002</v>
      </c>
      <c r="N258" s="81">
        <f t="shared" si="7"/>
        <v>1.4E-2</v>
      </c>
      <c r="P258" s="36">
        <f t="shared" si="6"/>
        <v>2.2580280963210267E-3</v>
      </c>
    </row>
    <row r="259" spans="13:16">
      <c r="M259" s="80">
        <v>2.5</v>
      </c>
      <c r="N259" s="81">
        <f t="shared" si="7"/>
        <v>1.4E-2</v>
      </c>
      <c r="P259" s="36">
        <f t="shared" si="6"/>
        <v>2.2400000000000002E-3</v>
      </c>
    </row>
    <row r="260" spans="13:16">
      <c r="M260" s="80">
        <v>2.5099999999999998</v>
      </c>
      <c r="N260" s="81">
        <f t="shared" si="7"/>
        <v>1.4E-2</v>
      </c>
      <c r="P260" s="36">
        <f t="shared" si="6"/>
        <v>2.2221869494135019E-3</v>
      </c>
    </row>
    <row r="261" spans="13:16">
      <c r="M261" s="80">
        <v>2.52</v>
      </c>
      <c r="N261" s="81">
        <f t="shared" si="7"/>
        <v>1.4E-2</v>
      </c>
      <c r="P261" s="36">
        <f t="shared" si="6"/>
        <v>2.2045855379188711E-3</v>
      </c>
    </row>
    <row r="262" spans="13:16">
      <c r="M262" s="80">
        <v>2.5299999999999998</v>
      </c>
      <c r="N262" s="81">
        <f t="shared" si="7"/>
        <v>1.4E-2</v>
      </c>
      <c r="P262" s="36">
        <f t="shared" si="6"/>
        <v>2.1871924260650848E-3</v>
      </c>
    </row>
    <row r="263" spans="13:16">
      <c r="M263" s="80">
        <v>2.54</v>
      </c>
      <c r="N263" s="81">
        <f t="shared" si="7"/>
        <v>1.4E-2</v>
      </c>
      <c r="P263" s="36">
        <f t="shared" si="6"/>
        <v>2.1700043400086797E-3</v>
      </c>
    </row>
    <row r="264" spans="13:16">
      <c r="M264" s="80">
        <v>2.5499999999999998</v>
      </c>
      <c r="N264" s="81">
        <f t="shared" si="7"/>
        <v>1.4E-2</v>
      </c>
      <c r="P264" s="36">
        <f t="shared" si="6"/>
        <v>2.1530180699730873E-3</v>
      </c>
    </row>
    <row r="265" spans="13:16">
      <c r="M265" s="80">
        <v>2.56</v>
      </c>
      <c r="N265" s="81">
        <f t="shared" si="7"/>
        <v>1.4E-2</v>
      </c>
      <c r="P265" s="36">
        <f t="shared" ref="P265:P328" si="8">IF(M265&lt;$G$6,$B$6*$C$6*$D$6*(2/3+(M265/$G$6)*(2.5*$E$6/$F$6-2/3)),IF(M265&lt;$H$6,$B$6*$C$6*$D$6*(2.5*$E$6/$F$6),IF(M265&lt;$I$6,$B$6*$C$6*$D$6*(2.5*$E$6/$F$6)*($H$6/M265),$B$6*$C$6*$D$6*(2.5*$E$6/$F$6)*($H$6*$I$6/M265^2))))</f>
        <v>2.1362304687499996E-3</v>
      </c>
    </row>
    <row r="266" spans="13:16">
      <c r="M266" s="80">
        <v>2.57</v>
      </c>
      <c r="N266" s="81">
        <f t="shared" ref="N266:N329" si="9">ROUND(IF(P266&lt;$J$6,$J$6,P266),5)</f>
        <v>1.4E-2</v>
      </c>
      <c r="P266" s="36">
        <f t="shared" si="8"/>
        <v>2.1196384502414878E-3</v>
      </c>
    </row>
    <row r="267" spans="13:16">
      <c r="M267" s="80">
        <v>2.58</v>
      </c>
      <c r="N267" s="81">
        <f t="shared" si="9"/>
        <v>1.4E-2</v>
      </c>
      <c r="P267" s="36">
        <f t="shared" si="8"/>
        <v>2.1032389880415838E-3</v>
      </c>
    </row>
    <row r="268" spans="13:16">
      <c r="M268" s="80">
        <v>2.59</v>
      </c>
      <c r="N268" s="81">
        <f t="shared" si="9"/>
        <v>1.4E-2</v>
      </c>
      <c r="P268" s="36">
        <f t="shared" si="8"/>
        <v>2.0870291140561415E-3</v>
      </c>
    </row>
    <row r="269" spans="13:16">
      <c r="M269" s="80">
        <v>2.6</v>
      </c>
      <c r="N269" s="81">
        <f t="shared" si="9"/>
        <v>1.4E-2</v>
      </c>
      <c r="P269" s="36">
        <f t="shared" si="8"/>
        <v>2.071005917159763E-3</v>
      </c>
    </row>
    <row r="270" spans="13:16">
      <c r="M270" s="80">
        <v>2.61</v>
      </c>
      <c r="N270" s="81">
        <f t="shared" si="9"/>
        <v>1.4E-2</v>
      </c>
      <c r="P270" s="36">
        <f t="shared" si="8"/>
        <v>2.0551665418886982E-3</v>
      </c>
    </row>
    <row r="271" spans="13:16">
      <c r="M271" s="80">
        <v>2.62</v>
      </c>
      <c r="N271" s="81">
        <f t="shared" si="9"/>
        <v>1.4E-2</v>
      </c>
      <c r="P271" s="36">
        <f t="shared" si="8"/>
        <v>2.0395081871685799E-3</v>
      </c>
    </row>
    <row r="272" spans="13:16">
      <c r="M272" s="80">
        <v>2.63</v>
      </c>
      <c r="N272" s="81">
        <f t="shared" si="9"/>
        <v>1.4E-2</v>
      </c>
      <c r="P272" s="36">
        <f t="shared" si="8"/>
        <v>2.0240281050759733E-3</v>
      </c>
    </row>
    <row r="273" spans="13:16">
      <c r="M273" s="80">
        <v>2.64</v>
      </c>
      <c r="N273" s="81">
        <f t="shared" si="9"/>
        <v>1.4E-2</v>
      </c>
      <c r="P273" s="36">
        <f t="shared" si="8"/>
        <v>2.0087235996326903E-3</v>
      </c>
    </row>
    <row r="274" spans="13:16">
      <c r="M274" s="80">
        <v>2.65</v>
      </c>
      <c r="N274" s="81">
        <f t="shared" si="9"/>
        <v>1.4E-2</v>
      </c>
      <c r="P274" s="36">
        <f t="shared" si="8"/>
        <v>1.9935920256318974E-3</v>
      </c>
    </row>
    <row r="275" spans="13:16">
      <c r="M275" s="80">
        <v>2.66</v>
      </c>
      <c r="N275" s="81">
        <f t="shared" si="9"/>
        <v>1.4E-2</v>
      </c>
      <c r="P275" s="36">
        <f t="shared" si="8"/>
        <v>1.9786307874950534E-3</v>
      </c>
    </row>
    <row r="276" spans="13:16">
      <c r="M276" s="80">
        <v>2.67</v>
      </c>
      <c r="N276" s="81">
        <f t="shared" si="9"/>
        <v>1.4E-2</v>
      </c>
      <c r="P276" s="36">
        <f t="shared" si="8"/>
        <v>1.9638373381587622E-3</v>
      </c>
    </row>
    <row r="277" spans="13:16">
      <c r="M277" s="80">
        <v>2.68</v>
      </c>
      <c r="N277" s="81">
        <f t="shared" si="9"/>
        <v>1.4E-2</v>
      </c>
      <c r="P277" s="36">
        <f t="shared" si="8"/>
        <v>1.9492091779906434E-3</v>
      </c>
    </row>
    <row r="278" spans="13:16">
      <c r="M278" s="80">
        <v>2.69</v>
      </c>
      <c r="N278" s="81">
        <f t="shared" si="9"/>
        <v>1.4E-2</v>
      </c>
      <c r="P278" s="36">
        <f t="shared" si="8"/>
        <v>1.9347438537333647E-3</v>
      </c>
    </row>
    <row r="279" spans="13:16">
      <c r="M279" s="80">
        <v>2.7</v>
      </c>
      <c r="N279" s="81">
        <f t="shared" si="9"/>
        <v>1.4E-2</v>
      </c>
      <c r="P279" s="36">
        <f t="shared" si="8"/>
        <v>1.9204389574759943E-3</v>
      </c>
    </row>
    <row r="280" spans="13:16">
      <c r="M280" s="80">
        <v>2.71</v>
      </c>
      <c r="N280" s="81">
        <f t="shared" si="9"/>
        <v>1.4E-2</v>
      </c>
      <c r="P280" s="36">
        <f t="shared" si="8"/>
        <v>1.9062921256518836E-3</v>
      </c>
    </row>
    <row r="281" spans="13:16">
      <c r="M281" s="80">
        <v>2.72</v>
      </c>
      <c r="N281" s="81">
        <f t="shared" si="9"/>
        <v>1.4E-2</v>
      </c>
      <c r="P281" s="36">
        <f t="shared" si="8"/>
        <v>1.8923010380622835E-3</v>
      </c>
    </row>
    <row r="282" spans="13:16">
      <c r="M282" s="80">
        <v>2.73</v>
      </c>
      <c r="N282" s="81">
        <f t="shared" si="9"/>
        <v>1.4E-2</v>
      </c>
      <c r="P282" s="36">
        <f t="shared" si="8"/>
        <v>1.8784634169249554E-3</v>
      </c>
    </row>
    <row r="283" spans="13:16">
      <c r="M283" s="80">
        <v>2.74</v>
      </c>
      <c r="N283" s="81">
        <f t="shared" si="9"/>
        <v>1.4E-2</v>
      </c>
      <c r="P283" s="36">
        <f t="shared" si="8"/>
        <v>1.8647770259470401E-3</v>
      </c>
    </row>
    <row r="284" spans="13:16">
      <c r="M284" s="80">
        <v>2.75</v>
      </c>
      <c r="N284" s="81">
        <f t="shared" si="9"/>
        <v>1.4E-2</v>
      </c>
      <c r="P284" s="36">
        <f t="shared" si="8"/>
        <v>1.8512396694214874E-3</v>
      </c>
    </row>
    <row r="285" spans="13:16">
      <c r="M285" s="80">
        <v>2.76</v>
      </c>
      <c r="N285" s="81">
        <f t="shared" si="9"/>
        <v>1.4E-2</v>
      </c>
      <c r="P285" s="36">
        <f t="shared" si="8"/>
        <v>1.8378491913463562E-3</v>
      </c>
    </row>
    <row r="286" spans="13:16">
      <c r="M286" s="80">
        <v>2.77</v>
      </c>
      <c r="N286" s="81">
        <f t="shared" si="9"/>
        <v>1.4E-2</v>
      </c>
      <c r="P286" s="36">
        <f t="shared" si="8"/>
        <v>1.8246034745663308E-3</v>
      </c>
    </row>
    <row r="287" spans="13:16">
      <c r="M287" s="80">
        <v>2.78</v>
      </c>
      <c r="N287" s="81">
        <f t="shared" si="9"/>
        <v>1.4E-2</v>
      </c>
      <c r="P287" s="36">
        <f t="shared" si="8"/>
        <v>1.8115004399358215E-3</v>
      </c>
    </row>
    <row r="288" spans="13:16">
      <c r="M288" s="80">
        <v>2.79</v>
      </c>
      <c r="N288" s="81">
        <f t="shared" si="9"/>
        <v>1.4E-2</v>
      </c>
      <c r="P288" s="36">
        <f t="shared" si="8"/>
        <v>1.7985380455030125E-3</v>
      </c>
    </row>
    <row r="289" spans="13:16">
      <c r="M289" s="80">
        <v>2.8</v>
      </c>
      <c r="N289" s="81">
        <f t="shared" si="9"/>
        <v>1.4E-2</v>
      </c>
      <c r="P289" s="36">
        <f t="shared" si="8"/>
        <v>1.7857142857142859E-3</v>
      </c>
    </row>
    <row r="290" spans="13:16">
      <c r="M290" s="80">
        <v>2.81</v>
      </c>
      <c r="N290" s="81">
        <f t="shared" si="9"/>
        <v>1.4E-2</v>
      </c>
      <c r="P290" s="36">
        <f t="shared" si="8"/>
        <v>1.7730271906384162E-3</v>
      </c>
    </row>
    <row r="291" spans="13:16">
      <c r="M291" s="80">
        <v>2.82</v>
      </c>
      <c r="N291" s="81">
        <f t="shared" si="9"/>
        <v>1.4E-2</v>
      </c>
      <c r="P291" s="36">
        <f t="shared" si="8"/>
        <v>1.7604748252099997E-3</v>
      </c>
    </row>
    <row r="292" spans="13:16">
      <c r="M292" s="80">
        <v>2.83</v>
      </c>
      <c r="N292" s="81">
        <f t="shared" si="9"/>
        <v>1.4E-2</v>
      </c>
      <c r="P292" s="36">
        <f t="shared" si="8"/>
        <v>1.748055288491553E-3</v>
      </c>
    </row>
    <row r="293" spans="13:16">
      <c r="M293" s="80">
        <v>2.84</v>
      </c>
      <c r="N293" s="81">
        <f t="shared" si="9"/>
        <v>1.4E-2</v>
      </c>
      <c r="P293" s="36">
        <f t="shared" si="8"/>
        <v>1.735766712953779E-3</v>
      </c>
    </row>
    <row r="294" spans="13:16">
      <c r="M294" s="80">
        <v>2.85</v>
      </c>
      <c r="N294" s="81">
        <f t="shared" si="9"/>
        <v>1.4E-2</v>
      </c>
      <c r="P294" s="36">
        <f t="shared" si="8"/>
        <v>1.7236072637734686E-3</v>
      </c>
    </row>
    <row r="295" spans="13:16">
      <c r="M295" s="80">
        <v>2.86</v>
      </c>
      <c r="N295" s="81">
        <f t="shared" si="9"/>
        <v>1.4E-2</v>
      </c>
      <c r="P295" s="36">
        <f t="shared" si="8"/>
        <v>1.7115751381485652E-3</v>
      </c>
    </row>
    <row r="296" spans="13:16">
      <c r="M296" s="80">
        <v>2.87</v>
      </c>
      <c r="N296" s="81">
        <f t="shared" si="9"/>
        <v>1.4E-2</v>
      </c>
      <c r="P296" s="36">
        <f t="shared" si="8"/>
        <v>1.6996685646298972E-3</v>
      </c>
    </row>
    <row r="297" spans="13:16">
      <c r="M297" s="80">
        <v>2.88</v>
      </c>
      <c r="N297" s="81">
        <f t="shared" si="9"/>
        <v>1.4E-2</v>
      </c>
      <c r="P297" s="36">
        <f t="shared" si="8"/>
        <v>1.6878858024691359E-3</v>
      </c>
    </row>
    <row r="298" spans="13:16">
      <c r="M298" s="80">
        <v>2.89</v>
      </c>
      <c r="N298" s="81">
        <f t="shared" si="9"/>
        <v>1.4E-2</v>
      </c>
      <c r="P298" s="36">
        <f t="shared" si="8"/>
        <v>1.6762251409825073E-3</v>
      </c>
    </row>
    <row r="299" spans="13:16">
      <c r="M299" s="80">
        <v>2.9</v>
      </c>
      <c r="N299" s="81">
        <f t="shared" si="9"/>
        <v>1.4E-2</v>
      </c>
      <c r="P299" s="36">
        <f t="shared" si="8"/>
        <v>1.6646848989298455E-3</v>
      </c>
    </row>
    <row r="300" spans="13:16">
      <c r="M300" s="80">
        <v>2.91</v>
      </c>
      <c r="N300" s="81">
        <f t="shared" si="9"/>
        <v>1.4E-2</v>
      </c>
      <c r="P300" s="36">
        <f t="shared" si="8"/>
        <v>1.6532634239085505E-3</v>
      </c>
    </row>
    <row r="301" spans="13:16">
      <c r="M301" s="80">
        <v>2.92</v>
      </c>
      <c r="N301" s="81">
        <f t="shared" si="9"/>
        <v>1.4E-2</v>
      </c>
      <c r="P301" s="36">
        <f t="shared" si="8"/>
        <v>1.6419590917620571E-3</v>
      </c>
    </row>
    <row r="302" spans="13:16">
      <c r="M302" s="80">
        <v>2.93</v>
      </c>
      <c r="N302" s="81">
        <f t="shared" si="9"/>
        <v>1.4E-2</v>
      </c>
      <c r="P302" s="36">
        <f t="shared" si="8"/>
        <v>1.6307703060023993E-3</v>
      </c>
    </row>
    <row r="303" spans="13:16">
      <c r="M303" s="80">
        <v>2.94</v>
      </c>
      <c r="N303" s="81">
        <f t="shared" si="9"/>
        <v>1.4E-2</v>
      </c>
      <c r="P303" s="36">
        <f t="shared" si="8"/>
        <v>1.6196954972465176E-3</v>
      </c>
    </row>
    <row r="304" spans="13:16">
      <c r="M304" s="80">
        <v>2.95</v>
      </c>
      <c r="N304" s="81">
        <f t="shared" si="9"/>
        <v>1.4E-2</v>
      </c>
      <c r="P304" s="36">
        <f t="shared" si="8"/>
        <v>1.6087331226659007E-3</v>
      </c>
    </row>
    <row r="305" spans="13:16">
      <c r="M305" s="80">
        <v>2.96</v>
      </c>
      <c r="N305" s="81">
        <f t="shared" si="9"/>
        <v>1.4E-2</v>
      </c>
      <c r="P305" s="36">
        <f t="shared" si="8"/>
        <v>1.597881665449233E-3</v>
      </c>
    </row>
    <row r="306" spans="13:16">
      <c r="M306" s="80">
        <v>2.97</v>
      </c>
      <c r="N306" s="81">
        <f t="shared" si="9"/>
        <v>1.4E-2</v>
      </c>
      <c r="P306" s="36">
        <f t="shared" si="8"/>
        <v>1.5871396342776812E-3</v>
      </c>
    </row>
    <row r="307" spans="13:16">
      <c r="M307" s="80">
        <v>2.98</v>
      </c>
      <c r="N307" s="81">
        <f t="shared" si="9"/>
        <v>1.4E-2</v>
      </c>
      <c r="P307" s="36">
        <f t="shared" si="8"/>
        <v>1.576505562812486E-3</v>
      </c>
    </row>
    <row r="308" spans="13:16">
      <c r="M308" s="80">
        <v>2.99</v>
      </c>
      <c r="N308" s="81">
        <f t="shared" si="9"/>
        <v>1.4E-2</v>
      </c>
      <c r="P308" s="36">
        <f t="shared" si="8"/>
        <v>1.5659780091945277E-3</v>
      </c>
    </row>
    <row r="309" spans="13:16">
      <c r="M309" s="80">
        <v>3</v>
      </c>
      <c r="N309" s="81">
        <f t="shared" si="9"/>
        <v>1.4E-2</v>
      </c>
      <c r="P309" s="36">
        <f t="shared" si="8"/>
        <v>1.5555555555555557E-3</v>
      </c>
    </row>
    <row r="310" spans="13:16">
      <c r="M310" s="80">
        <v>3.01</v>
      </c>
      <c r="N310" s="81">
        <f t="shared" si="9"/>
        <v>1.4E-2</v>
      </c>
      <c r="P310" s="36">
        <f t="shared" si="8"/>
        <v>1.5452368075407558E-3</v>
      </c>
    </row>
    <row r="311" spans="13:16">
      <c r="M311" s="80">
        <v>3.02</v>
      </c>
      <c r="N311" s="81">
        <f t="shared" si="9"/>
        <v>1.4E-2</v>
      </c>
      <c r="P311" s="36">
        <f t="shared" si="8"/>
        <v>1.5350203938423754E-3</v>
      </c>
    </row>
    <row r="312" spans="13:16">
      <c r="M312" s="80">
        <v>3.03</v>
      </c>
      <c r="N312" s="81">
        <f t="shared" si="9"/>
        <v>1.4E-2</v>
      </c>
      <c r="P312" s="36">
        <f t="shared" si="8"/>
        <v>1.5249049657440992E-3</v>
      </c>
    </row>
    <row r="313" spans="13:16">
      <c r="M313" s="80">
        <v>3.04</v>
      </c>
      <c r="N313" s="81">
        <f t="shared" si="9"/>
        <v>1.4E-2</v>
      </c>
      <c r="P313" s="36">
        <f t="shared" si="8"/>
        <v>1.5148891966759001E-3</v>
      </c>
    </row>
    <row r="314" spans="13:16">
      <c r="M314" s="80">
        <v>3.05</v>
      </c>
      <c r="N314" s="81">
        <f t="shared" si="9"/>
        <v>1.4E-2</v>
      </c>
      <c r="P314" s="36">
        <f t="shared" si="8"/>
        <v>1.5049717817790917E-3</v>
      </c>
    </row>
    <row r="315" spans="13:16">
      <c r="M315" s="80">
        <v>3.06</v>
      </c>
      <c r="N315" s="81">
        <f t="shared" si="9"/>
        <v>1.4E-2</v>
      </c>
      <c r="P315" s="36">
        <f t="shared" si="8"/>
        <v>1.4951514374813106E-3</v>
      </c>
    </row>
    <row r="316" spans="13:16">
      <c r="M316" s="80">
        <v>3.07</v>
      </c>
      <c r="N316" s="81">
        <f t="shared" si="9"/>
        <v>1.4E-2</v>
      </c>
      <c r="P316" s="36">
        <f t="shared" si="8"/>
        <v>1.4854269010811786E-3</v>
      </c>
    </row>
    <row r="317" spans="13:16">
      <c r="M317" s="80">
        <v>3.08</v>
      </c>
      <c r="N317" s="81">
        <f t="shared" si="9"/>
        <v>1.4E-2</v>
      </c>
      <c r="P317" s="36">
        <f t="shared" si="8"/>
        <v>1.4757969303423851E-3</v>
      </c>
    </row>
    <row r="318" spans="13:16">
      <c r="M318" s="80">
        <v>3.09</v>
      </c>
      <c r="N318" s="81">
        <f t="shared" si="9"/>
        <v>1.4E-2</v>
      </c>
      <c r="P318" s="36">
        <f t="shared" si="8"/>
        <v>1.4662603030969512E-3</v>
      </c>
    </row>
    <row r="319" spans="13:16">
      <c r="M319" s="80">
        <v>3.1</v>
      </c>
      <c r="N319" s="81">
        <f t="shared" si="9"/>
        <v>1.4E-2</v>
      </c>
      <c r="P319" s="36">
        <f t="shared" si="8"/>
        <v>1.45681581685744E-3</v>
      </c>
    </row>
    <row r="320" spans="13:16">
      <c r="M320" s="80">
        <v>3.11</v>
      </c>
      <c r="N320" s="81">
        <f t="shared" si="9"/>
        <v>1.4E-2</v>
      </c>
      <c r="P320" s="36">
        <f t="shared" si="8"/>
        <v>1.4474622884378782E-3</v>
      </c>
    </row>
    <row r="321" spans="13:16">
      <c r="M321" s="80">
        <v>3.12</v>
      </c>
      <c r="N321" s="81">
        <f t="shared" si="9"/>
        <v>1.4E-2</v>
      </c>
      <c r="P321" s="36">
        <f t="shared" si="8"/>
        <v>1.438198553583169E-3</v>
      </c>
    </row>
    <row r="322" spans="13:16">
      <c r="M322" s="80">
        <v>3.13</v>
      </c>
      <c r="N322" s="81">
        <f t="shared" si="9"/>
        <v>1.4E-2</v>
      </c>
      <c r="P322" s="36">
        <f t="shared" si="8"/>
        <v>1.429023466606784E-3</v>
      </c>
    </row>
    <row r="323" spans="13:16">
      <c r="M323" s="80">
        <v>3.14</v>
      </c>
      <c r="N323" s="81">
        <f t="shared" si="9"/>
        <v>1.4E-2</v>
      </c>
      <c r="P323" s="36">
        <f t="shared" si="8"/>
        <v>1.4199359000365125E-3</v>
      </c>
    </row>
    <row r="324" spans="13:16">
      <c r="M324" s="80">
        <v>3.15</v>
      </c>
      <c r="N324" s="81">
        <f t="shared" si="9"/>
        <v>1.4E-2</v>
      </c>
      <c r="P324" s="36">
        <f t="shared" si="8"/>
        <v>1.4109347442680777E-3</v>
      </c>
    </row>
    <row r="325" spans="13:16">
      <c r="M325" s="80">
        <v>3.16</v>
      </c>
      <c r="N325" s="81">
        <f t="shared" si="9"/>
        <v>1.4E-2</v>
      </c>
      <c r="P325" s="36">
        <f t="shared" si="8"/>
        <v>1.4020189072264059E-3</v>
      </c>
    </row>
    <row r="326" spans="13:16">
      <c r="M326" s="80">
        <v>3.17</v>
      </c>
      <c r="N326" s="81">
        <f t="shared" si="9"/>
        <v>1.4E-2</v>
      </c>
      <c r="P326" s="36">
        <f t="shared" si="8"/>
        <v>1.393187314034372E-3</v>
      </c>
    </row>
    <row r="327" spans="13:16">
      <c r="M327" s="80">
        <v>3.18</v>
      </c>
      <c r="N327" s="81">
        <f t="shared" si="9"/>
        <v>1.4E-2</v>
      </c>
      <c r="P327" s="36">
        <f t="shared" si="8"/>
        <v>1.3844389066888175E-3</v>
      </c>
    </row>
    <row r="328" spans="13:16">
      <c r="M328" s="80">
        <v>3.19</v>
      </c>
      <c r="N328" s="81">
        <f t="shared" si="9"/>
        <v>1.4E-2</v>
      </c>
      <c r="P328" s="36">
        <f t="shared" si="8"/>
        <v>1.375772643743674E-3</v>
      </c>
    </row>
    <row r="329" spans="13:16">
      <c r="M329" s="80">
        <v>3.2</v>
      </c>
      <c r="N329" s="81">
        <f t="shared" si="9"/>
        <v>1.4E-2</v>
      </c>
      <c r="P329" s="36">
        <f t="shared" ref="P329:P392" si="10">IF(M329&lt;$G$6,$B$6*$C$6*$D$6*(2/3+(M329/$G$6)*(2.5*$E$6/$F$6-2/3)),IF(M329&lt;$H$6,$B$6*$C$6*$D$6*(2.5*$E$6/$F$6),IF(M329&lt;$I$6,$B$6*$C$6*$D$6*(2.5*$E$6/$F$6)*($H$6/M329),$B$6*$C$6*$D$6*(2.5*$E$6/$F$6)*($H$6*$I$6/M329^2))))</f>
        <v>1.3671874999999997E-3</v>
      </c>
    </row>
    <row r="330" spans="13:16">
      <c r="M330" s="80">
        <v>3.21</v>
      </c>
      <c r="N330" s="81">
        <f t="shared" ref="N330:N393" si="11">ROUND(IF(P330&lt;$J$6,$J$6,P330),5)</f>
        <v>1.4E-2</v>
      </c>
      <c r="P330" s="36">
        <f t="shared" si="10"/>
        <v>1.3586824662027736E-3</v>
      </c>
    </row>
    <row r="331" spans="13:16">
      <c r="M331" s="80">
        <v>3.22</v>
      </c>
      <c r="N331" s="81">
        <f t="shared" si="11"/>
        <v>1.4E-2</v>
      </c>
      <c r="P331" s="36">
        <f t="shared" si="10"/>
        <v>1.3502565487442614E-3</v>
      </c>
    </row>
    <row r="332" spans="13:16">
      <c r="M332" s="80">
        <v>3.23</v>
      </c>
      <c r="N332" s="81">
        <f t="shared" si="11"/>
        <v>1.4E-2</v>
      </c>
      <c r="P332" s="36">
        <f t="shared" si="10"/>
        <v>1.3419087693738079E-3</v>
      </c>
    </row>
    <row r="333" spans="13:16">
      <c r="M333" s="80">
        <v>3.24</v>
      </c>
      <c r="N333" s="81">
        <f t="shared" si="11"/>
        <v>1.4E-2</v>
      </c>
      <c r="P333" s="36">
        <f t="shared" si="10"/>
        <v>1.3336381649138849E-3</v>
      </c>
    </row>
    <row r="334" spans="13:16">
      <c r="M334" s="80">
        <v>3.25</v>
      </c>
      <c r="N334" s="81">
        <f t="shared" si="11"/>
        <v>1.4E-2</v>
      </c>
      <c r="P334" s="36">
        <f t="shared" si="10"/>
        <v>1.3254437869822486E-3</v>
      </c>
    </row>
    <row r="335" spans="13:16">
      <c r="M335" s="80">
        <v>3.26</v>
      </c>
      <c r="N335" s="81">
        <f t="shared" si="11"/>
        <v>1.4E-2</v>
      </c>
      <c r="P335" s="36">
        <f t="shared" si="10"/>
        <v>1.3173247017200498E-3</v>
      </c>
    </row>
    <row r="336" spans="13:16">
      <c r="M336" s="80">
        <v>3.27</v>
      </c>
      <c r="N336" s="81">
        <f t="shared" si="11"/>
        <v>1.4E-2</v>
      </c>
      <c r="P336" s="36">
        <f t="shared" si="10"/>
        <v>1.3092799895257602E-3</v>
      </c>
    </row>
    <row r="337" spans="13:16">
      <c r="M337" s="80">
        <v>3.28</v>
      </c>
      <c r="N337" s="81">
        <f t="shared" si="11"/>
        <v>1.4E-2</v>
      </c>
      <c r="P337" s="36">
        <f t="shared" si="10"/>
        <v>1.3013087447947653E-3</v>
      </c>
    </row>
    <row r="338" spans="13:16">
      <c r="M338" s="80">
        <v>3.29</v>
      </c>
      <c r="N338" s="81">
        <f t="shared" si="11"/>
        <v>1.4E-2</v>
      </c>
      <c r="P338" s="36">
        <f t="shared" si="10"/>
        <v>1.2934100756644895E-3</v>
      </c>
    </row>
    <row r="339" spans="13:16">
      <c r="M339" s="80">
        <v>3.3</v>
      </c>
      <c r="N339" s="81">
        <f t="shared" si="11"/>
        <v>1.4E-2</v>
      </c>
      <c r="P339" s="36">
        <f t="shared" si="10"/>
        <v>1.2855831037649221E-3</v>
      </c>
    </row>
    <row r="340" spans="13:16">
      <c r="M340" s="80">
        <v>3.31</v>
      </c>
      <c r="N340" s="81">
        <f t="shared" si="11"/>
        <v>1.4E-2</v>
      </c>
      <c r="P340" s="36">
        <f t="shared" si="10"/>
        <v>1.2778269639744069E-3</v>
      </c>
    </row>
    <row r="341" spans="13:16">
      <c r="M341" s="80">
        <v>3.32</v>
      </c>
      <c r="N341" s="81">
        <f t="shared" si="11"/>
        <v>1.4E-2</v>
      </c>
      <c r="P341" s="36">
        <f t="shared" si="10"/>
        <v>1.2701408041805779E-3</v>
      </c>
    </row>
    <row r="342" spans="13:16">
      <c r="M342" s="80">
        <v>3.33</v>
      </c>
      <c r="N342" s="81">
        <f t="shared" si="11"/>
        <v>1.4E-2</v>
      </c>
      <c r="P342" s="36">
        <f t="shared" si="10"/>
        <v>1.2625237850463077E-3</v>
      </c>
    </row>
    <row r="343" spans="13:16">
      <c r="M343" s="80">
        <v>3.34</v>
      </c>
      <c r="N343" s="81">
        <f t="shared" si="11"/>
        <v>1.4E-2</v>
      </c>
      <c r="P343" s="36">
        <f t="shared" si="10"/>
        <v>1.2549750797805586E-3</v>
      </c>
    </row>
    <row r="344" spans="13:16">
      <c r="M344" s="80">
        <v>3.35</v>
      </c>
      <c r="N344" s="81">
        <f t="shared" si="11"/>
        <v>1.4E-2</v>
      </c>
      <c r="P344" s="36">
        <f t="shared" si="10"/>
        <v>1.247493873914012E-3</v>
      </c>
    </row>
    <row r="345" spans="13:16">
      <c r="M345" s="80">
        <v>3.36</v>
      </c>
      <c r="N345" s="81">
        <f t="shared" si="11"/>
        <v>1.4E-2</v>
      </c>
      <c r="P345" s="36">
        <f t="shared" si="10"/>
        <v>1.2400793650793652E-3</v>
      </c>
    </row>
    <row r="346" spans="13:16">
      <c r="M346" s="80">
        <v>3.37</v>
      </c>
      <c r="N346" s="81">
        <f t="shared" si="11"/>
        <v>1.4E-2</v>
      </c>
      <c r="P346" s="36">
        <f t="shared" si="10"/>
        <v>1.2327307627961854E-3</v>
      </c>
    </row>
    <row r="347" spans="13:16">
      <c r="M347" s="80">
        <v>3.38</v>
      </c>
      <c r="N347" s="81">
        <f t="shared" si="11"/>
        <v>1.4E-2</v>
      </c>
      <c r="P347" s="36">
        <f t="shared" si="10"/>
        <v>1.2254472882602151E-3</v>
      </c>
    </row>
    <row r="348" spans="13:16">
      <c r="M348" s="80">
        <v>3.39</v>
      </c>
      <c r="N348" s="81">
        <f t="shared" si="11"/>
        <v>1.4E-2</v>
      </c>
      <c r="P348" s="36">
        <f t="shared" si="10"/>
        <v>1.2182281741370158E-3</v>
      </c>
    </row>
    <row r="349" spans="13:16">
      <c r="M349" s="80">
        <v>3.4</v>
      </c>
      <c r="N349" s="81">
        <f t="shared" si="11"/>
        <v>1.4E-2</v>
      </c>
      <c r="P349" s="36">
        <f t="shared" si="10"/>
        <v>1.2110726643598617E-3</v>
      </c>
    </row>
    <row r="350" spans="13:16">
      <c r="M350" s="80">
        <v>3.41</v>
      </c>
      <c r="N350" s="81">
        <f t="shared" si="11"/>
        <v>1.4E-2</v>
      </c>
      <c r="P350" s="36">
        <f t="shared" si="10"/>
        <v>1.2039800139317686E-3</v>
      </c>
    </row>
    <row r="351" spans="13:16">
      <c r="M351" s="80">
        <v>3.42</v>
      </c>
      <c r="N351" s="81">
        <f t="shared" si="11"/>
        <v>1.4E-2</v>
      </c>
      <c r="P351" s="36">
        <f t="shared" si="10"/>
        <v>1.1969494887315757E-3</v>
      </c>
    </row>
    <row r="352" spans="13:16">
      <c r="M352" s="80">
        <v>3.43</v>
      </c>
      <c r="N352" s="81">
        <f t="shared" si="11"/>
        <v>1.4E-2</v>
      </c>
      <c r="P352" s="36">
        <f t="shared" si="10"/>
        <v>1.189980365323972E-3</v>
      </c>
    </row>
    <row r="353" spans="13:16">
      <c r="M353" s="80">
        <v>3.44</v>
      </c>
      <c r="N353" s="81">
        <f t="shared" si="11"/>
        <v>1.4E-2</v>
      </c>
      <c r="P353" s="36">
        <f t="shared" si="10"/>
        <v>1.183071930773391E-3</v>
      </c>
    </row>
    <row r="354" spans="13:16">
      <c r="M354" s="80">
        <v>3.45</v>
      </c>
      <c r="N354" s="81">
        <f t="shared" si="11"/>
        <v>1.4E-2</v>
      </c>
      <c r="P354" s="36">
        <f t="shared" si="10"/>
        <v>1.1762234824616675E-3</v>
      </c>
    </row>
    <row r="355" spans="13:16">
      <c r="M355" s="80">
        <v>3.46</v>
      </c>
      <c r="N355" s="81">
        <f t="shared" si="11"/>
        <v>1.4E-2</v>
      </c>
      <c r="P355" s="36">
        <f t="shared" si="10"/>
        <v>1.1694343279093854E-3</v>
      </c>
    </row>
    <row r="356" spans="13:16">
      <c r="M356" s="80">
        <v>3.47</v>
      </c>
      <c r="N356" s="81">
        <f t="shared" si="11"/>
        <v>1.4E-2</v>
      </c>
      <c r="P356" s="36">
        <f t="shared" si="10"/>
        <v>1.1627037846008187E-3</v>
      </c>
    </row>
    <row r="357" spans="13:16">
      <c r="M357" s="80">
        <v>3.48</v>
      </c>
      <c r="N357" s="81">
        <f t="shared" si="11"/>
        <v>1.4E-2</v>
      </c>
      <c r="P357" s="36">
        <f t="shared" si="10"/>
        <v>1.1560311798123927E-3</v>
      </c>
    </row>
    <row r="358" spans="13:16">
      <c r="M358" s="80">
        <v>3.49</v>
      </c>
      <c r="N358" s="81">
        <f t="shared" si="11"/>
        <v>1.4E-2</v>
      </c>
      <c r="P358" s="36">
        <f t="shared" si="10"/>
        <v>1.1494158504445776E-3</v>
      </c>
    </row>
    <row r="359" spans="13:16">
      <c r="M359" s="80">
        <v>3.5</v>
      </c>
      <c r="N359" s="81">
        <f t="shared" si="11"/>
        <v>1.4E-2</v>
      </c>
      <c r="P359" s="36">
        <f t="shared" si="10"/>
        <v>1.1428571428571429E-3</v>
      </c>
    </row>
    <row r="360" spans="13:16">
      <c r="M360" s="80">
        <v>3.51</v>
      </c>
      <c r="N360" s="81">
        <f t="shared" si="11"/>
        <v>1.4E-2</v>
      </c>
      <c r="P360" s="36">
        <f t="shared" si="10"/>
        <v>1.1363544127076892E-3</v>
      </c>
    </row>
    <row r="361" spans="13:16">
      <c r="M361" s="80">
        <v>3.52</v>
      </c>
      <c r="N361" s="81">
        <f t="shared" si="11"/>
        <v>1.4E-2</v>
      </c>
      <c r="P361" s="36">
        <f t="shared" si="10"/>
        <v>1.1299070247933886E-3</v>
      </c>
    </row>
    <row r="362" spans="13:16">
      <c r="M362" s="80">
        <v>3.53</v>
      </c>
      <c r="N362" s="81">
        <f t="shared" si="11"/>
        <v>1.4E-2</v>
      </c>
      <c r="P362" s="36">
        <f t="shared" si="10"/>
        <v>1.1235143528958583E-3</v>
      </c>
    </row>
    <row r="363" spans="13:16">
      <c r="M363" s="80">
        <v>3.54</v>
      </c>
      <c r="N363" s="81">
        <f t="shared" si="11"/>
        <v>1.4E-2</v>
      </c>
      <c r="P363" s="36">
        <f t="shared" si="10"/>
        <v>1.1171757796290976E-3</v>
      </c>
    </row>
    <row r="364" spans="13:16">
      <c r="M364" s="80">
        <v>3.55</v>
      </c>
      <c r="N364" s="81">
        <f t="shared" si="11"/>
        <v>1.4E-2</v>
      </c>
      <c r="P364" s="36">
        <f t="shared" si="10"/>
        <v>1.1108906962904186E-3</v>
      </c>
    </row>
    <row r="365" spans="13:16">
      <c r="M365" s="80">
        <v>3.56</v>
      </c>
      <c r="N365" s="81">
        <f t="shared" si="11"/>
        <v>1.4E-2</v>
      </c>
      <c r="P365" s="36">
        <f t="shared" si="10"/>
        <v>1.1046585027143037E-3</v>
      </c>
    </row>
    <row r="366" spans="13:16">
      <c r="M366" s="80">
        <v>3.57</v>
      </c>
      <c r="N366" s="81">
        <f t="shared" si="11"/>
        <v>1.4E-2</v>
      </c>
      <c r="P366" s="36">
        <f t="shared" si="10"/>
        <v>1.0984786071291262E-3</v>
      </c>
    </row>
    <row r="367" spans="13:16">
      <c r="M367" s="80">
        <v>3.58</v>
      </c>
      <c r="N367" s="81">
        <f t="shared" si="11"/>
        <v>1.4E-2</v>
      </c>
      <c r="P367" s="36">
        <f t="shared" si="10"/>
        <v>1.0923504260166661E-3</v>
      </c>
    </row>
    <row r="368" spans="13:16">
      <c r="M368" s="80">
        <v>3.59</v>
      </c>
      <c r="N368" s="81">
        <f t="shared" si="11"/>
        <v>1.4E-2</v>
      </c>
      <c r="P368" s="36">
        <f t="shared" si="10"/>
        <v>1.086273383974364E-3</v>
      </c>
    </row>
    <row r="369" spans="13:16">
      <c r="M369" s="80">
        <v>3.6</v>
      </c>
      <c r="N369" s="81">
        <f t="shared" si="11"/>
        <v>1.4E-2</v>
      </c>
      <c r="P369" s="36">
        <f t="shared" si="10"/>
        <v>1.0802469135802468E-3</v>
      </c>
    </row>
    <row r="370" spans="13:16">
      <c r="M370" s="80">
        <v>3.61</v>
      </c>
      <c r="N370" s="81">
        <f t="shared" si="11"/>
        <v>1.4E-2</v>
      </c>
      <c r="P370" s="36">
        <f t="shared" si="10"/>
        <v>1.0742704552604723E-3</v>
      </c>
    </row>
    <row r="371" spans="13:16">
      <c r="M371" s="80">
        <v>3.62</v>
      </c>
      <c r="N371" s="81">
        <f t="shared" si="11"/>
        <v>1.4E-2</v>
      </c>
      <c r="P371" s="36">
        <f t="shared" si="10"/>
        <v>1.0683434571594273E-3</v>
      </c>
    </row>
    <row r="372" spans="13:16">
      <c r="M372" s="80">
        <v>3.63</v>
      </c>
      <c r="N372" s="81">
        <f t="shared" si="11"/>
        <v>1.4E-2</v>
      </c>
      <c r="P372" s="36">
        <f t="shared" si="10"/>
        <v>1.0624653750123322E-3</v>
      </c>
    </row>
    <row r="373" spans="13:16">
      <c r="M373" s="80">
        <v>3.64</v>
      </c>
      <c r="N373" s="81">
        <f t="shared" si="11"/>
        <v>1.4E-2</v>
      </c>
      <c r="P373" s="36">
        <f t="shared" si="10"/>
        <v>1.0566356720202873E-3</v>
      </c>
    </row>
    <row r="374" spans="13:16">
      <c r="M374" s="80">
        <v>3.65</v>
      </c>
      <c r="N374" s="81">
        <f t="shared" si="11"/>
        <v>1.4E-2</v>
      </c>
      <c r="P374" s="36">
        <f t="shared" si="10"/>
        <v>1.0508538187277163E-3</v>
      </c>
    </row>
    <row r="375" spans="13:16">
      <c r="M375" s="80">
        <v>3.66</v>
      </c>
      <c r="N375" s="81">
        <f t="shared" si="11"/>
        <v>1.4E-2</v>
      </c>
      <c r="P375" s="36">
        <f t="shared" si="10"/>
        <v>1.0451192929021469E-3</v>
      </c>
    </row>
    <row r="376" spans="13:16">
      <c r="M376" s="80">
        <v>3.67</v>
      </c>
      <c r="N376" s="81">
        <f t="shared" si="11"/>
        <v>1.4E-2</v>
      </c>
      <c r="P376" s="36">
        <f t="shared" si="10"/>
        <v>1.0394315794162849E-3</v>
      </c>
    </row>
    <row r="377" spans="13:16">
      <c r="M377" s="80">
        <v>3.68</v>
      </c>
      <c r="N377" s="81">
        <f t="shared" si="11"/>
        <v>1.4E-2</v>
      </c>
      <c r="P377" s="36">
        <f t="shared" si="10"/>
        <v>1.033790170132325E-3</v>
      </c>
    </row>
    <row r="378" spans="13:16">
      <c r="M378" s="80">
        <v>3.69</v>
      </c>
      <c r="N378" s="81">
        <f t="shared" si="11"/>
        <v>1.4E-2</v>
      </c>
      <c r="P378" s="36">
        <f t="shared" si="10"/>
        <v>1.0281945637884563E-3</v>
      </c>
    </row>
    <row r="379" spans="13:16">
      <c r="M379" s="80">
        <v>3.7</v>
      </c>
      <c r="N379" s="81">
        <f t="shared" si="11"/>
        <v>1.4E-2</v>
      </c>
      <c r="P379" s="36">
        <f t="shared" si="10"/>
        <v>1.0226442658875089E-3</v>
      </c>
    </row>
    <row r="380" spans="13:16">
      <c r="M380" s="80">
        <v>3.71</v>
      </c>
      <c r="N380" s="81">
        <f t="shared" si="11"/>
        <v>1.4E-2</v>
      </c>
      <c r="P380" s="36">
        <f t="shared" si="10"/>
        <v>1.0171387885877028E-3</v>
      </c>
    </row>
    <row r="381" spans="13:16">
      <c r="M381" s="80">
        <v>3.72</v>
      </c>
      <c r="N381" s="81">
        <f t="shared" si="11"/>
        <v>1.4E-2</v>
      </c>
      <c r="P381" s="36">
        <f t="shared" si="10"/>
        <v>1.0116776505954446E-3</v>
      </c>
    </row>
    <row r="382" spans="13:16">
      <c r="M382" s="80">
        <v>3.73</v>
      </c>
      <c r="N382" s="81">
        <f t="shared" si="11"/>
        <v>1.4E-2</v>
      </c>
      <c r="P382" s="36">
        <f t="shared" si="10"/>
        <v>1.0062603770601385E-3</v>
      </c>
    </row>
    <row r="383" spans="13:16">
      <c r="M383" s="80">
        <v>3.74</v>
      </c>
      <c r="N383" s="81">
        <f t="shared" si="11"/>
        <v>1.4E-2</v>
      </c>
      <c r="P383" s="36">
        <f t="shared" si="10"/>
        <v>1.0008864994709597E-3</v>
      </c>
    </row>
    <row r="384" spans="13:16">
      <c r="M384" s="80">
        <v>3.75</v>
      </c>
      <c r="N384" s="81">
        <f t="shared" si="11"/>
        <v>1.4E-2</v>
      </c>
      <c r="P384" s="36">
        <f t="shared" si="10"/>
        <v>9.9555555555555552E-4</v>
      </c>
    </row>
    <row r="385" spans="13:16">
      <c r="M385" s="80">
        <v>3.76</v>
      </c>
      <c r="N385" s="81">
        <f t="shared" si="11"/>
        <v>1.4E-2</v>
      </c>
      <c r="P385" s="36">
        <f t="shared" si="10"/>
        <v>9.9026708918062488E-4</v>
      </c>
    </row>
    <row r="386" spans="13:16">
      <c r="M386" s="80">
        <v>3.77</v>
      </c>
      <c r="N386" s="81">
        <f t="shared" si="11"/>
        <v>1.4E-2</v>
      </c>
      <c r="P386" s="36">
        <f t="shared" si="10"/>
        <v>9.8502065025434654E-4</v>
      </c>
    </row>
    <row r="387" spans="13:16">
      <c r="M387" s="80">
        <v>3.78</v>
      </c>
      <c r="N387" s="81">
        <f t="shared" si="11"/>
        <v>1.4E-2</v>
      </c>
      <c r="P387" s="36">
        <f t="shared" si="10"/>
        <v>9.7981579463060956E-4</v>
      </c>
    </row>
    <row r="388" spans="13:16">
      <c r="M388" s="80">
        <v>3.79</v>
      </c>
      <c r="N388" s="81">
        <f t="shared" si="11"/>
        <v>1.4E-2</v>
      </c>
      <c r="P388" s="36">
        <f t="shared" si="10"/>
        <v>9.7465208401500958E-4</v>
      </c>
    </row>
    <row r="389" spans="13:16">
      <c r="M389" s="80">
        <v>3.8</v>
      </c>
      <c r="N389" s="81">
        <f t="shared" si="11"/>
        <v>1.4E-2</v>
      </c>
      <c r="P389" s="36">
        <f t="shared" si="10"/>
        <v>9.695290858725762E-4</v>
      </c>
    </row>
    <row r="390" spans="13:16">
      <c r="M390" s="80">
        <v>3.81</v>
      </c>
      <c r="N390" s="81">
        <f t="shared" si="11"/>
        <v>1.4E-2</v>
      </c>
      <c r="P390" s="36">
        <f t="shared" si="10"/>
        <v>9.6444637333719112E-4</v>
      </c>
    </row>
    <row r="391" spans="13:16">
      <c r="M391" s="80">
        <v>3.82</v>
      </c>
      <c r="N391" s="81">
        <f t="shared" si="11"/>
        <v>1.4E-2</v>
      </c>
      <c r="P391" s="36">
        <f t="shared" si="10"/>
        <v>9.5940352512266665E-4</v>
      </c>
    </row>
    <row r="392" spans="13:16">
      <c r="M392" s="80">
        <v>3.83</v>
      </c>
      <c r="N392" s="81">
        <f t="shared" si="11"/>
        <v>1.4E-2</v>
      </c>
      <c r="P392" s="36">
        <f t="shared" si="10"/>
        <v>9.5440012543544491E-4</v>
      </c>
    </row>
    <row r="393" spans="13:16">
      <c r="M393" s="80">
        <v>3.84</v>
      </c>
      <c r="N393" s="81">
        <f t="shared" si="11"/>
        <v>1.4E-2</v>
      </c>
      <c r="P393" s="36">
        <f t="shared" ref="P393:P409" si="12">IF(M393&lt;$G$6,$B$6*$C$6*$D$6*(2/3+(M393/$G$6)*(2.5*$E$6/$F$6-2/3)),IF(M393&lt;$H$6,$B$6*$C$6*$D$6*(2.5*$E$6/$F$6),IF(M393&lt;$I$6,$B$6*$C$6*$D$6*(2.5*$E$6/$F$6)*($H$6/M393),$B$6*$C$6*$D$6*(2.5*$E$6/$F$6)*($H$6*$I$6/M393^2))))</f>
        <v>9.4943576388888888E-4</v>
      </c>
    </row>
    <row r="394" spans="13:16">
      <c r="M394" s="80">
        <v>3.85</v>
      </c>
      <c r="N394" s="81">
        <f t="shared" ref="N394:N409" si="13">ROUND(IF(P394&lt;$J$6,$J$6,P394),5)</f>
        <v>1.4E-2</v>
      </c>
      <c r="P394" s="36">
        <f t="shared" si="12"/>
        <v>9.4451003541912615E-4</v>
      </c>
    </row>
    <row r="395" spans="13:16">
      <c r="M395" s="80">
        <v>3.86</v>
      </c>
      <c r="N395" s="81">
        <f t="shared" si="13"/>
        <v>1.4E-2</v>
      </c>
      <c r="P395" s="36">
        <f t="shared" si="12"/>
        <v>9.3962254020242152E-4</v>
      </c>
    </row>
    <row r="396" spans="13:16">
      <c r="M396" s="80">
        <v>3.87</v>
      </c>
      <c r="N396" s="81">
        <f t="shared" si="13"/>
        <v>1.4E-2</v>
      </c>
      <c r="P396" s="36">
        <f t="shared" si="12"/>
        <v>9.3477288357403723E-4</v>
      </c>
    </row>
    <row r="397" spans="13:16">
      <c r="M397" s="80">
        <v>3.88</v>
      </c>
      <c r="N397" s="81">
        <f t="shared" si="13"/>
        <v>1.4E-2</v>
      </c>
      <c r="P397" s="36">
        <f t="shared" si="12"/>
        <v>9.2996067594856E-4</v>
      </c>
    </row>
    <row r="398" spans="13:16">
      <c r="M398" s="80">
        <v>3.89</v>
      </c>
      <c r="N398" s="81">
        <f t="shared" si="13"/>
        <v>1.4E-2</v>
      </c>
      <c r="P398" s="36">
        <f t="shared" si="12"/>
        <v>9.2518553274165496E-4</v>
      </c>
    </row>
    <row r="399" spans="13:16">
      <c r="M399" s="80">
        <v>3.9</v>
      </c>
      <c r="N399" s="81">
        <f t="shared" si="13"/>
        <v>1.4E-2</v>
      </c>
      <c r="P399" s="36">
        <f t="shared" si="12"/>
        <v>9.2044707429322816E-4</v>
      </c>
    </row>
    <row r="400" spans="13:16">
      <c r="M400" s="80">
        <v>3.91</v>
      </c>
      <c r="N400" s="81">
        <f t="shared" si="13"/>
        <v>1.4E-2</v>
      </c>
      <c r="P400" s="36">
        <f t="shared" si="12"/>
        <v>9.157449257919557E-4</v>
      </c>
    </row>
    <row r="401" spans="13:16">
      <c r="M401" s="80">
        <v>3.92</v>
      </c>
      <c r="N401" s="81">
        <f t="shared" si="13"/>
        <v>1.4E-2</v>
      </c>
      <c r="P401" s="36">
        <f t="shared" si="12"/>
        <v>9.1107871720116625E-4</v>
      </c>
    </row>
    <row r="402" spans="13:16">
      <c r="M402" s="80">
        <v>3.93</v>
      </c>
      <c r="N402" s="81">
        <f t="shared" si="13"/>
        <v>1.4E-2</v>
      </c>
      <c r="P402" s="36">
        <f t="shared" si="12"/>
        <v>9.0644808318603544E-4</v>
      </c>
    </row>
    <row r="403" spans="13:16">
      <c r="M403" s="80">
        <v>3.94</v>
      </c>
      <c r="N403" s="81">
        <f t="shared" si="13"/>
        <v>1.4E-2</v>
      </c>
      <c r="P403" s="36">
        <f t="shared" si="12"/>
        <v>9.0185266304207792E-4</v>
      </c>
    </row>
    <row r="404" spans="13:16">
      <c r="M404" s="80">
        <v>3.95</v>
      </c>
      <c r="N404" s="81">
        <f t="shared" si="13"/>
        <v>1.4E-2</v>
      </c>
      <c r="P404" s="36">
        <f t="shared" si="12"/>
        <v>8.9729210062489974E-4</v>
      </c>
    </row>
    <row r="405" spans="13:16">
      <c r="M405" s="80">
        <v>3.96</v>
      </c>
      <c r="N405" s="81">
        <f t="shared" si="13"/>
        <v>1.4E-2</v>
      </c>
      <c r="P405" s="36">
        <f t="shared" si="12"/>
        <v>8.9276604428119592E-4</v>
      </c>
    </row>
    <row r="406" spans="13:16">
      <c r="M406" s="80">
        <v>3.97</v>
      </c>
      <c r="N406" s="81">
        <f t="shared" si="13"/>
        <v>1.4E-2</v>
      </c>
      <c r="P406" s="36">
        <f t="shared" si="12"/>
        <v>8.8827414678095793E-4</v>
      </c>
    </row>
    <row r="407" spans="13:16">
      <c r="M407" s="80">
        <v>3.98</v>
      </c>
      <c r="N407" s="81">
        <f t="shared" si="13"/>
        <v>1.4E-2</v>
      </c>
      <c r="P407" s="36">
        <f t="shared" si="12"/>
        <v>8.8381606525087756E-4</v>
      </c>
    </row>
    <row r="408" spans="13:16">
      <c r="M408" s="80">
        <v>3.99</v>
      </c>
      <c r="N408" s="81">
        <f t="shared" si="13"/>
        <v>1.4E-2</v>
      </c>
      <c r="P408" s="36">
        <f t="shared" si="12"/>
        <v>8.7939146110891254E-4</v>
      </c>
    </row>
    <row r="409" spans="13:16">
      <c r="M409" s="80">
        <v>4</v>
      </c>
      <c r="N409" s="81">
        <f t="shared" si="13"/>
        <v>1.4E-2</v>
      </c>
      <c r="P409" s="36">
        <f t="shared" si="12"/>
        <v>8.7500000000000002E-4</v>
      </c>
    </row>
    <row r="410" spans="13:16">
      <c r="M410" s="38"/>
      <c r="N410" s="39"/>
    </row>
    <row r="411" spans="13:16">
      <c r="M411" s="38"/>
      <c r="N411" s="39"/>
    </row>
    <row r="412" spans="13:16">
      <c r="M412" s="38"/>
      <c r="N412" s="39"/>
    </row>
    <row r="413" spans="13:16">
      <c r="M413" s="38"/>
      <c r="N413" s="39"/>
    </row>
    <row r="414" spans="13:16">
      <c r="M414" s="38"/>
      <c r="N414" s="39"/>
    </row>
    <row r="415" spans="13:16">
      <c r="M415" s="38"/>
      <c r="N415" s="39"/>
    </row>
    <row r="416" spans="13:16">
      <c r="M416" s="38"/>
      <c r="N416" s="39"/>
    </row>
    <row r="417" spans="13:14">
      <c r="M417" s="38"/>
      <c r="N417" s="39"/>
    </row>
    <row r="418" spans="13:14">
      <c r="M418" s="38"/>
      <c r="N418" s="39"/>
    </row>
    <row r="419" spans="13:14">
      <c r="M419" s="38"/>
      <c r="N419" s="39"/>
    </row>
    <row r="420" spans="13:14">
      <c r="M420" s="38"/>
      <c r="N420" s="39"/>
    </row>
    <row r="421" spans="13:14">
      <c r="M421" s="38"/>
      <c r="N421" s="39"/>
    </row>
    <row r="422" spans="13:14">
      <c r="M422" s="38"/>
      <c r="N422" s="39"/>
    </row>
    <row r="423" spans="13:14">
      <c r="M423" s="38"/>
      <c r="N423" s="39"/>
    </row>
    <row r="424" spans="13:14">
      <c r="M424" s="38"/>
      <c r="N424" s="39"/>
    </row>
    <row r="425" spans="13:14">
      <c r="M425" s="38"/>
      <c r="N425" s="39"/>
    </row>
    <row r="426" spans="13:14">
      <c r="M426" s="38"/>
      <c r="N426" s="39"/>
    </row>
    <row r="427" spans="13:14">
      <c r="M427" s="38"/>
      <c r="N427" s="39"/>
    </row>
    <row r="428" spans="13:14">
      <c r="M428" s="38"/>
      <c r="N428" s="39"/>
    </row>
    <row r="429" spans="13:14">
      <c r="M429" s="38"/>
      <c r="N429" s="39"/>
    </row>
    <row r="430" spans="13:14">
      <c r="M430" s="38"/>
      <c r="N430" s="39"/>
    </row>
    <row r="431" spans="13:14">
      <c r="M431" s="38"/>
      <c r="N431" s="39"/>
    </row>
    <row r="432" spans="13:14">
      <c r="M432" s="38"/>
      <c r="N432" s="39"/>
    </row>
    <row r="433" spans="13:14">
      <c r="M433" s="38"/>
      <c r="N433" s="39"/>
    </row>
    <row r="434" spans="13:14">
      <c r="M434" s="38"/>
      <c r="N434" s="39"/>
    </row>
    <row r="435" spans="13:14">
      <c r="M435" s="38"/>
      <c r="N435" s="39"/>
    </row>
    <row r="436" spans="13:14">
      <c r="M436" s="38"/>
      <c r="N436" s="39"/>
    </row>
    <row r="437" spans="13:14">
      <c r="M437" s="38"/>
      <c r="N437" s="39"/>
    </row>
    <row r="438" spans="13:14">
      <c r="M438" s="38"/>
      <c r="N438" s="39"/>
    </row>
    <row r="439" spans="13:14">
      <c r="M439" s="38"/>
      <c r="N439" s="39"/>
    </row>
    <row r="440" spans="13:14">
      <c r="M440" s="38"/>
      <c r="N440" s="39"/>
    </row>
    <row r="441" spans="13:14">
      <c r="M441" s="38"/>
      <c r="N441" s="39"/>
    </row>
    <row r="442" spans="13:14">
      <c r="M442" s="38"/>
      <c r="N442" s="39"/>
    </row>
    <row r="443" spans="13:14">
      <c r="M443" s="38"/>
      <c r="N443" s="39"/>
    </row>
    <row r="444" spans="13:14">
      <c r="M444" s="38"/>
      <c r="N444" s="39"/>
    </row>
    <row r="445" spans="13:14">
      <c r="M445" s="38"/>
      <c r="N445" s="39"/>
    </row>
    <row r="446" spans="13:14">
      <c r="M446" s="38"/>
      <c r="N446" s="39"/>
    </row>
    <row r="447" spans="13:14">
      <c r="M447" s="38"/>
      <c r="N447" s="39"/>
    </row>
    <row r="448" spans="13:14">
      <c r="M448" s="38"/>
      <c r="N448" s="39"/>
    </row>
    <row r="449" spans="13:14">
      <c r="M449" s="38"/>
      <c r="N449" s="39"/>
    </row>
    <row r="450" spans="13:14">
      <c r="M450" s="38"/>
      <c r="N450" s="39"/>
    </row>
    <row r="451" spans="13:14">
      <c r="M451" s="38"/>
      <c r="N451" s="39"/>
    </row>
    <row r="452" spans="13:14">
      <c r="M452" s="38"/>
      <c r="N452" s="39"/>
    </row>
    <row r="453" spans="13:14">
      <c r="M453" s="38"/>
      <c r="N453" s="39"/>
    </row>
    <row r="454" spans="13:14">
      <c r="M454" s="38"/>
      <c r="N454" s="39"/>
    </row>
    <row r="455" spans="13:14">
      <c r="M455" s="38"/>
      <c r="N455" s="39"/>
    </row>
    <row r="456" spans="13:14">
      <c r="M456" s="38"/>
      <c r="N456" s="39"/>
    </row>
    <row r="457" spans="13:14">
      <c r="M457" s="38"/>
      <c r="N457" s="39"/>
    </row>
    <row r="458" spans="13:14">
      <c r="M458" s="38"/>
      <c r="N458" s="39"/>
    </row>
    <row r="459" spans="13:14">
      <c r="M459" s="38"/>
      <c r="N459" s="39"/>
    </row>
    <row r="460" spans="13:14">
      <c r="M460" s="38"/>
      <c r="N460" s="39"/>
    </row>
    <row r="461" spans="13:14">
      <c r="M461" s="38"/>
      <c r="N461" s="39"/>
    </row>
    <row r="462" spans="13:14">
      <c r="M462" s="38"/>
      <c r="N462" s="39"/>
    </row>
    <row r="463" spans="13:14">
      <c r="M463" s="38"/>
      <c r="N463" s="39"/>
    </row>
    <row r="464" spans="13:14">
      <c r="M464" s="38"/>
      <c r="N464" s="39"/>
    </row>
    <row r="465" spans="13:14">
      <c r="M465" s="38"/>
      <c r="N465" s="39"/>
    </row>
    <row r="466" spans="13:14">
      <c r="M466" s="38"/>
      <c r="N466" s="39"/>
    </row>
    <row r="467" spans="13:14">
      <c r="M467" s="38"/>
      <c r="N467" s="39"/>
    </row>
    <row r="468" spans="13:14">
      <c r="M468" s="38"/>
      <c r="N468" s="39"/>
    </row>
    <row r="469" spans="13:14">
      <c r="M469" s="38"/>
      <c r="N469" s="39"/>
    </row>
    <row r="470" spans="13:14">
      <c r="M470" s="38"/>
      <c r="N470" s="39"/>
    </row>
    <row r="471" spans="13:14">
      <c r="M471" s="38"/>
      <c r="N471" s="39"/>
    </row>
    <row r="472" spans="13:14">
      <c r="M472" s="38"/>
      <c r="N472" s="39"/>
    </row>
    <row r="473" spans="13:14">
      <c r="M473" s="38"/>
      <c r="N473" s="39"/>
    </row>
    <row r="474" spans="13:14">
      <c r="M474" s="38"/>
      <c r="N474" s="39"/>
    </row>
    <row r="475" spans="13:14">
      <c r="M475" s="38"/>
      <c r="N475" s="39"/>
    </row>
    <row r="476" spans="13:14">
      <c r="M476" s="38"/>
      <c r="N476" s="39"/>
    </row>
    <row r="477" spans="13:14">
      <c r="M477" s="38"/>
      <c r="N477" s="39"/>
    </row>
    <row r="478" spans="13:14">
      <c r="M478" s="38"/>
      <c r="N478" s="39"/>
    </row>
    <row r="479" spans="13:14">
      <c r="M479" s="38"/>
      <c r="N479" s="39"/>
    </row>
    <row r="480" spans="13:14">
      <c r="M480" s="38"/>
      <c r="N480" s="39"/>
    </row>
    <row r="481" spans="13:14">
      <c r="M481" s="38"/>
      <c r="N481" s="39"/>
    </row>
    <row r="482" spans="13:14">
      <c r="M482" s="38"/>
      <c r="N482" s="39"/>
    </row>
    <row r="483" spans="13:14">
      <c r="M483" s="38"/>
      <c r="N483" s="39"/>
    </row>
    <row r="484" spans="13:14">
      <c r="M484" s="38"/>
      <c r="N484" s="39"/>
    </row>
    <row r="485" spans="13:14">
      <c r="M485" s="38"/>
      <c r="N485" s="39"/>
    </row>
    <row r="486" spans="13:14">
      <c r="M486" s="38"/>
      <c r="N486" s="39"/>
    </row>
    <row r="487" spans="13:14">
      <c r="M487" s="38"/>
      <c r="N487" s="39"/>
    </row>
    <row r="488" spans="13:14">
      <c r="M488" s="38"/>
      <c r="N488" s="39"/>
    </row>
    <row r="489" spans="13:14">
      <c r="M489" s="38"/>
      <c r="N489" s="39"/>
    </row>
    <row r="490" spans="13:14">
      <c r="M490" s="38"/>
      <c r="N490" s="39"/>
    </row>
    <row r="491" spans="13:14">
      <c r="M491" s="38"/>
      <c r="N491" s="39"/>
    </row>
    <row r="492" spans="13:14">
      <c r="M492" s="38"/>
      <c r="N492" s="39"/>
    </row>
    <row r="493" spans="13:14">
      <c r="M493" s="38"/>
      <c r="N493" s="39"/>
    </row>
    <row r="494" spans="13:14">
      <c r="M494" s="38"/>
      <c r="N494" s="39"/>
    </row>
    <row r="495" spans="13:14">
      <c r="M495" s="38"/>
      <c r="N495" s="39"/>
    </row>
    <row r="496" spans="13:14">
      <c r="M496" s="38"/>
      <c r="N496" s="39"/>
    </row>
    <row r="497" spans="13:14">
      <c r="M497" s="38"/>
      <c r="N497" s="39"/>
    </row>
    <row r="498" spans="13:14">
      <c r="M498" s="38"/>
      <c r="N498" s="39"/>
    </row>
    <row r="499" spans="13:14">
      <c r="M499" s="38"/>
      <c r="N499" s="39"/>
    </row>
    <row r="500" spans="13:14">
      <c r="M500" s="38"/>
      <c r="N500" s="39"/>
    </row>
    <row r="501" spans="13:14">
      <c r="M501" s="38"/>
      <c r="N501" s="39"/>
    </row>
    <row r="502" spans="13:14">
      <c r="M502" s="38"/>
      <c r="N502" s="39"/>
    </row>
    <row r="503" spans="13:14">
      <c r="M503" s="38"/>
      <c r="N503" s="39"/>
    </row>
    <row r="504" spans="13:14">
      <c r="M504" s="38"/>
      <c r="N504" s="39"/>
    </row>
    <row r="505" spans="13:14">
      <c r="M505" s="38"/>
      <c r="N505" s="39"/>
    </row>
    <row r="506" spans="13:14">
      <c r="M506" s="38"/>
      <c r="N506" s="39"/>
    </row>
    <row r="507" spans="13:14">
      <c r="M507" s="38"/>
      <c r="N507" s="39"/>
    </row>
    <row r="508" spans="13:14">
      <c r="M508" s="38"/>
      <c r="N508" s="39"/>
    </row>
    <row r="509" spans="13:14">
      <c r="M509" s="38"/>
      <c r="N509" s="39"/>
    </row>
    <row r="510" spans="13:14">
      <c r="M510" s="38"/>
      <c r="N510" s="39"/>
    </row>
    <row r="511" spans="13:14">
      <c r="M511" s="38"/>
      <c r="N511" s="39"/>
    </row>
    <row r="512" spans="13:14">
      <c r="M512" s="38"/>
      <c r="N512" s="39"/>
    </row>
    <row r="513" spans="13:14">
      <c r="M513" s="38"/>
      <c r="N513" s="39"/>
    </row>
    <row r="514" spans="13:14">
      <c r="M514" s="38"/>
      <c r="N514" s="39"/>
    </row>
    <row r="515" spans="13:14">
      <c r="M515" s="38"/>
      <c r="N515" s="39"/>
    </row>
    <row r="516" spans="13:14">
      <c r="M516" s="38"/>
      <c r="N516" s="39"/>
    </row>
    <row r="517" spans="13:14">
      <c r="M517" s="38"/>
      <c r="N517" s="39"/>
    </row>
    <row r="518" spans="13:14">
      <c r="M518" s="38"/>
      <c r="N518" s="39"/>
    </row>
    <row r="519" spans="13:14">
      <c r="M519" s="38"/>
      <c r="N519" s="39"/>
    </row>
    <row r="520" spans="13:14">
      <c r="M520" s="38"/>
      <c r="N520" s="39"/>
    </row>
    <row r="521" spans="13:14">
      <c r="M521" s="38"/>
      <c r="N521" s="39"/>
    </row>
    <row r="522" spans="13:14">
      <c r="M522" s="38"/>
      <c r="N522" s="39"/>
    </row>
    <row r="523" spans="13:14">
      <c r="M523" s="38"/>
      <c r="N523" s="39"/>
    </row>
    <row r="524" spans="13:14">
      <c r="M524" s="38"/>
      <c r="N524" s="39"/>
    </row>
    <row r="525" spans="13:14">
      <c r="M525" s="38"/>
      <c r="N525" s="39"/>
    </row>
    <row r="526" spans="13:14">
      <c r="M526" s="38"/>
      <c r="N526" s="39"/>
    </row>
    <row r="527" spans="13:14">
      <c r="M527" s="38"/>
      <c r="N527" s="39"/>
    </row>
    <row r="528" spans="13:14">
      <c r="M528" s="38"/>
      <c r="N528" s="39"/>
    </row>
    <row r="529" spans="13:14">
      <c r="M529" s="38"/>
      <c r="N529" s="39"/>
    </row>
    <row r="530" spans="13:14">
      <c r="M530" s="38"/>
      <c r="N530" s="39"/>
    </row>
    <row r="531" spans="13:14">
      <c r="M531" s="38"/>
      <c r="N531" s="39"/>
    </row>
    <row r="532" spans="13:14">
      <c r="M532" s="38"/>
      <c r="N532" s="39"/>
    </row>
    <row r="533" spans="13:14">
      <c r="M533" s="38"/>
      <c r="N533" s="39"/>
    </row>
    <row r="534" spans="13:14">
      <c r="M534" s="38"/>
      <c r="N534" s="39"/>
    </row>
    <row r="535" spans="13:14">
      <c r="M535" s="38"/>
      <c r="N535" s="39"/>
    </row>
    <row r="536" spans="13:14">
      <c r="M536" s="38"/>
      <c r="N536" s="39"/>
    </row>
    <row r="537" spans="13:14">
      <c r="M537" s="38"/>
      <c r="N537" s="39"/>
    </row>
    <row r="538" spans="13:14">
      <c r="M538" s="38"/>
      <c r="N538" s="39"/>
    </row>
    <row r="539" spans="13:14">
      <c r="M539" s="38"/>
      <c r="N539" s="39"/>
    </row>
    <row r="540" spans="13:14">
      <c r="M540" s="38"/>
      <c r="N540" s="39"/>
    </row>
    <row r="541" spans="13:14">
      <c r="M541" s="38"/>
      <c r="N541" s="39"/>
    </row>
    <row r="542" spans="13:14">
      <c r="M542" s="38"/>
      <c r="N542" s="39"/>
    </row>
    <row r="543" spans="13:14">
      <c r="M543" s="38"/>
      <c r="N543" s="39"/>
    </row>
    <row r="544" spans="13:14">
      <c r="M544" s="38"/>
      <c r="N544" s="39"/>
    </row>
    <row r="545" spans="13:14">
      <c r="M545" s="38"/>
      <c r="N545" s="39"/>
    </row>
    <row r="546" spans="13:14">
      <c r="M546" s="38"/>
      <c r="N546" s="39"/>
    </row>
    <row r="547" spans="13:14">
      <c r="M547" s="38"/>
      <c r="N547" s="39"/>
    </row>
    <row r="548" spans="13:14">
      <c r="M548" s="38"/>
      <c r="N548" s="39"/>
    </row>
    <row r="549" spans="13:14">
      <c r="M549" s="38"/>
      <c r="N549" s="39"/>
    </row>
    <row r="550" spans="13:14">
      <c r="M550" s="38"/>
      <c r="N550" s="39"/>
    </row>
    <row r="551" spans="13:14">
      <c r="M551" s="38"/>
      <c r="N551" s="39"/>
    </row>
    <row r="552" spans="13:14">
      <c r="M552" s="38"/>
      <c r="N552" s="39"/>
    </row>
    <row r="553" spans="13:14">
      <c r="M553" s="38"/>
      <c r="N553" s="39"/>
    </row>
    <row r="554" spans="13:14">
      <c r="M554" s="38"/>
      <c r="N554" s="39"/>
    </row>
    <row r="555" spans="13:14">
      <c r="M555" s="38"/>
      <c r="N555" s="39"/>
    </row>
    <row r="556" spans="13:14">
      <c r="M556" s="38"/>
      <c r="N556" s="39"/>
    </row>
    <row r="557" spans="13:14">
      <c r="M557" s="38"/>
      <c r="N557" s="39"/>
    </row>
    <row r="558" spans="13:14">
      <c r="M558" s="38"/>
      <c r="N558" s="39"/>
    </row>
    <row r="559" spans="13:14">
      <c r="M559" s="38"/>
      <c r="N559" s="39"/>
    </row>
    <row r="560" spans="13:14">
      <c r="M560" s="38"/>
      <c r="N560" s="39"/>
    </row>
    <row r="561" spans="13:14">
      <c r="M561" s="38"/>
      <c r="N561" s="39"/>
    </row>
    <row r="562" spans="13:14">
      <c r="M562" s="38"/>
      <c r="N562" s="39"/>
    </row>
    <row r="563" spans="13:14">
      <c r="M563" s="38"/>
      <c r="N563" s="39"/>
    </row>
    <row r="564" spans="13:14">
      <c r="M564" s="38"/>
      <c r="N564" s="39"/>
    </row>
    <row r="565" spans="13:14">
      <c r="M565" s="38"/>
      <c r="N565" s="39"/>
    </row>
    <row r="566" spans="13:14">
      <c r="M566" s="38"/>
      <c r="N566" s="39"/>
    </row>
    <row r="567" spans="13:14">
      <c r="M567" s="38"/>
      <c r="N567" s="39"/>
    </row>
    <row r="568" spans="13:14">
      <c r="M568" s="38"/>
      <c r="N568" s="39"/>
    </row>
    <row r="569" spans="13:14">
      <c r="M569" s="38"/>
      <c r="N569" s="39"/>
    </row>
    <row r="570" spans="13:14">
      <c r="M570" s="38"/>
      <c r="N570" s="39"/>
    </row>
    <row r="571" spans="13:14">
      <c r="M571" s="38"/>
      <c r="N571" s="39"/>
    </row>
    <row r="572" spans="13:14">
      <c r="M572" s="38"/>
      <c r="N572" s="39"/>
    </row>
    <row r="573" spans="13:14">
      <c r="M573" s="38"/>
      <c r="N573" s="39"/>
    </row>
    <row r="574" spans="13:14">
      <c r="M574" s="38"/>
      <c r="N574" s="39"/>
    </row>
    <row r="575" spans="13:14">
      <c r="M575" s="38"/>
      <c r="N575" s="39"/>
    </row>
    <row r="576" spans="13:14">
      <c r="M576" s="38"/>
      <c r="N576" s="39"/>
    </row>
    <row r="577" spans="13:14">
      <c r="M577" s="38"/>
      <c r="N577" s="39"/>
    </row>
    <row r="578" spans="13:14">
      <c r="M578" s="38"/>
      <c r="N578" s="39"/>
    </row>
    <row r="579" spans="13:14">
      <c r="M579" s="38"/>
      <c r="N579" s="39"/>
    </row>
    <row r="580" spans="13:14">
      <c r="M580" s="38"/>
      <c r="N580" s="39"/>
    </row>
    <row r="581" spans="13:14">
      <c r="M581" s="38"/>
      <c r="N581" s="39"/>
    </row>
    <row r="582" spans="13:14">
      <c r="M582" s="38"/>
      <c r="N582" s="39"/>
    </row>
    <row r="583" spans="13:14">
      <c r="M583" s="38"/>
      <c r="N583" s="39"/>
    </row>
    <row r="584" spans="13:14">
      <c r="M584" s="38"/>
      <c r="N584" s="39"/>
    </row>
    <row r="585" spans="13:14">
      <c r="M585" s="38"/>
      <c r="N585" s="39"/>
    </row>
    <row r="586" spans="13:14">
      <c r="M586" s="38"/>
      <c r="N586" s="39"/>
    </row>
    <row r="587" spans="13:14">
      <c r="M587" s="38"/>
      <c r="N587" s="39"/>
    </row>
    <row r="588" spans="13:14">
      <c r="M588" s="38"/>
      <c r="N588" s="39"/>
    </row>
    <row r="589" spans="13:14">
      <c r="M589" s="38"/>
      <c r="N589" s="39"/>
    </row>
    <row r="590" spans="13:14">
      <c r="M590" s="38"/>
      <c r="N590" s="39"/>
    </row>
    <row r="591" spans="13:14">
      <c r="M591" s="38"/>
      <c r="N591" s="39"/>
    </row>
    <row r="592" spans="13:14">
      <c r="M592" s="38"/>
      <c r="N592" s="39"/>
    </row>
    <row r="593" spans="13:14">
      <c r="M593" s="38"/>
      <c r="N593" s="39"/>
    </row>
    <row r="594" spans="13:14">
      <c r="M594" s="38"/>
      <c r="N594" s="39"/>
    </row>
    <row r="595" spans="13:14">
      <c r="M595" s="38"/>
      <c r="N595" s="39"/>
    </row>
    <row r="596" spans="13:14">
      <c r="M596" s="38"/>
      <c r="N596" s="39"/>
    </row>
    <row r="597" spans="13:14">
      <c r="M597" s="38"/>
      <c r="N597" s="39"/>
    </row>
    <row r="598" spans="13:14">
      <c r="M598" s="38"/>
      <c r="N598" s="39"/>
    </row>
    <row r="599" spans="13:14">
      <c r="M599" s="38"/>
      <c r="N599" s="39"/>
    </row>
    <row r="600" spans="13:14">
      <c r="M600" s="38"/>
      <c r="N600" s="39"/>
    </row>
    <row r="601" spans="13:14">
      <c r="M601" s="38"/>
      <c r="N601" s="39"/>
    </row>
    <row r="602" spans="13:14">
      <c r="M602" s="38"/>
      <c r="N602" s="39"/>
    </row>
    <row r="603" spans="13:14">
      <c r="M603" s="38"/>
      <c r="N603" s="39"/>
    </row>
    <row r="604" spans="13:14">
      <c r="M604" s="38"/>
      <c r="N604" s="39"/>
    </row>
    <row r="605" spans="13:14">
      <c r="M605" s="38"/>
      <c r="N605" s="39"/>
    </row>
    <row r="606" spans="13:14">
      <c r="M606" s="38"/>
      <c r="N606" s="39"/>
    </row>
    <row r="607" spans="13:14">
      <c r="M607" s="38"/>
      <c r="N607" s="39"/>
    </row>
    <row r="608" spans="13:14">
      <c r="M608" s="38"/>
      <c r="N608" s="39"/>
    </row>
    <row r="609" spans="13:14">
      <c r="M609" s="38"/>
      <c r="N609" s="39"/>
    </row>
    <row r="610" spans="13:14">
      <c r="M610" s="38"/>
      <c r="N610" s="39"/>
    </row>
    <row r="611" spans="13:14">
      <c r="M611" s="38"/>
      <c r="N611" s="39"/>
    </row>
    <row r="612" spans="13:14">
      <c r="M612" s="38"/>
      <c r="N612" s="39"/>
    </row>
    <row r="613" spans="13:14">
      <c r="M613" s="38"/>
      <c r="N613" s="39"/>
    </row>
    <row r="614" spans="13:14">
      <c r="M614" s="38"/>
      <c r="N614" s="39"/>
    </row>
    <row r="615" spans="13:14">
      <c r="M615" s="38"/>
      <c r="N615" s="39"/>
    </row>
    <row r="616" spans="13:14">
      <c r="M616" s="38"/>
      <c r="N616" s="39"/>
    </row>
    <row r="617" spans="13:14">
      <c r="M617" s="38"/>
      <c r="N617" s="39"/>
    </row>
    <row r="618" spans="13:14">
      <c r="M618" s="38"/>
      <c r="N618" s="39"/>
    </row>
    <row r="619" spans="13:14">
      <c r="M619" s="38"/>
      <c r="N619" s="39"/>
    </row>
    <row r="620" spans="13:14">
      <c r="M620" s="38"/>
      <c r="N620" s="39"/>
    </row>
    <row r="621" spans="13:14">
      <c r="M621" s="38"/>
      <c r="N621" s="39"/>
    </row>
    <row r="622" spans="13:14">
      <c r="M622" s="38"/>
      <c r="N622" s="39"/>
    </row>
    <row r="623" spans="13:14">
      <c r="M623" s="38"/>
      <c r="N623" s="39"/>
    </row>
    <row r="624" spans="13:14">
      <c r="M624" s="38"/>
      <c r="N624" s="39"/>
    </row>
    <row r="625" spans="13:14">
      <c r="M625" s="38"/>
      <c r="N625" s="39"/>
    </row>
    <row r="626" spans="13:14">
      <c r="M626" s="38"/>
      <c r="N626" s="39"/>
    </row>
    <row r="627" spans="13:14">
      <c r="M627" s="38"/>
      <c r="N627" s="39"/>
    </row>
    <row r="628" spans="13:14">
      <c r="M628" s="38"/>
      <c r="N628" s="39"/>
    </row>
    <row r="629" spans="13:14">
      <c r="M629" s="38"/>
      <c r="N629" s="39"/>
    </row>
    <row r="630" spans="13:14">
      <c r="M630" s="38"/>
      <c r="N630" s="39"/>
    </row>
    <row r="631" spans="13:14">
      <c r="M631" s="38"/>
      <c r="N631" s="39"/>
    </row>
    <row r="632" spans="13:14">
      <c r="M632" s="38"/>
      <c r="N632" s="39"/>
    </row>
    <row r="633" spans="13:14">
      <c r="M633" s="38"/>
      <c r="N633" s="39"/>
    </row>
    <row r="634" spans="13:14">
      <c r="M634" s="38"/>
      <c r="N634" s="39"/>
    </row>
    <row r="635" spans="13:14">
      <c r="M635" s="38"/>
      <c r="N635" s="39"/>
    </row>
    <row r="636" spans="13:14">
      <c r="M636" s="38"/>
      <c r="N636" s="39"/>
    </row>
    <row r="637" spans="13:14">
      <c r="M637" s="38"/>
      <c r="N637" s="39"/>
    </row>
    <row r="638" spans="13:14">
      <c r="M638" s="38"/>
      <c r="N638" s="39"/>
    </row>
    <row r="639" spans="13:14">
      <c r="M639" s="38"/>
      <c r="N639" s="39"/>
    </row>
    <row r="640" spans="13:14">
      <c r="M640" s="38"/>
      <c r="N640" s="39"/>
    </row>
    <row r="641" spans="13:14">
      <c r="M641" s="38"/>
      <c r="N641" s="39"/>
    </row>
    <row r="642" spans="13:14">
      <c r="M642" s="38"/>
      <c r="N642" s="39"/>
    </row>
    <row r="643" spans="13:14">
      <c r="M643" s="38"/>
      <c r="N643" s="39"/>
    </row>
    <row r="644" spans="13:14">
      <c r="M644" s="38"/>
      <c r="N644" s="39"/>
    </row>
    <row r="645" spans="13:14">
      <c r="M645" s="38"/>
      <c r="N645" s="39"/>
    </row>
    <row r="646" spans="13:14">
      <c r="M646" s="38"/>
      <c r="N646" s="39"/>
    </row>
    <row r="647" spans="13:14">
      <c r="M647" s="38"/>
      <c r="N647" s="39"/>
    </row>
    <row r="648" spans="13:14">
      <c r="M648" s="38"/>
      <c r="N648" s="39"/>
    </row>
    <row r="649" spans="13:14">
      <c r="M649" s="38"/>
      <c r="N649" s="39"/>
    </row>
    <row r="650" spans="13:14">
      <c r="M650" s="38"/>
      <c r="N650" s="39"/>
    </row>
    <row r="651" spans="13:14">
      <c r="M651" s="38"/>
      <c r="N651" s="39"/>
    </row>
    <row r="652" spans="13:14">
      <c r="M652" s="38"/>
      <c r="N652" s="39"/>
    </row>
    <row r="653" spans="13:14">
      <c r="M653" s="38"/>
      <c r="N653" s="39"/>
    </row>
    <row r="654" spans="13:14">
      <c r="M654" s="38"/>
      <c r="N654" s="39"/>
    </row>
    <row r="655" spans="13:14">
      <c r="M655" s="38"/>
      <c r="N655" s="39"/>
    </row>
    <row r="656" spans="13:14">
      <c r="M656" s="38"/>
      <c r="N656" s="39"/>
    </row>
    <row r="657" spans="13:14">
      <c r="M657" s="38"/>
      <c r="N657" s="39"/>
    </row>
    <row r="658" spans="13:14">
      <c r="M658" s="38"/>
      <c r="N658" s="39"/>
    </row>
    <row r="659" spans="13:14">
      <c r="M659" s="38"/>
      <c r="N659" s="39"/>
    </row>
    <row r="660" spans="13:14">
      <c r="M660" s="38"/>
      <c r="N660" s="39"/>
    </row>
    <row r="661" spans="13:14">
      <c r="M661" s="38"/>
      <c r="N661" s="39"/>
    </row>
    <row r="662" spans="13:14">
      <c r="M662" s="38"/>
      <c r="N662" s="39"/>
    </row>
    <row r="663" spans="13:14">
      <c r="M663" s="38"/>
      <c r="N663" s="39"/>
    </row>
    <row r="664" spans="13:14">
      <c r="M664" s="38"/>
      <c r="N664" s="39"/>
    </row>
    <row r="665" spans="13:14">
      <c r="M665" s="38"/>
      <c r="N665" s="39"/>
    </row>
    <row r="666" spans="13:14">
      <c r="M666" s="38"/>
      <c r="N666" s="39"/>
    </row>
    <row r="667" spans="13:14">
      <c r="M667" s="38"/>
      <c r="N667" s="39"/>
    </row>
    <row r="668" spans="13:14">
      <c r="M668" s="38"/>
      <c r="N668" s="39"/>
    </row>
    <row r="669" spans="13:14">
      <c r="M669" s="38"/>
      <c r="N669" s="39"/>
    </row>
    <row r="670" spans="13:14">
      <c r="M670" s="38"/>
      <c r="N670" s="39"/>
    </row>
    <row r="671" spans="13:14">
      <c r="M671" s="38"/>
      <c r="N671" s="39"/>
    </row>
    <row r="672" spans="13:14">
      <c r="M672" s="38"/>
      <c r="N672" s="39"/>
    </row>
    <row r="673" spans="13:14">
      <c r="M673" s="38"/>
      <c r="N673" s="39"/>
    </row>
    <row r="674" spans="13:14">
      <c r="M674" s="38"/>
      <c r="N674" s="39"/>
    </row>
    <row r="675" spans="13:14">
      <c r="M675" s="38"/>
      <c r="N675" s="39"/>
    </row>
    <row r="676" spans="13:14">
      <c r="M676" s="38"/>
      <c r="N676" s="39"/>
    </row>
    <row r="677" spans="13:14">
      <c r="M677" s="38"/>
      <c r="N677" s="39"/>
    </row>
    <row r="678" spans="13:14">
      <c r="M678" s="38"/>
      <c r="N678" s="39"/>
    </row>
    <row r="679" spans="13:14">
      <c r="M679" s="38"/>
      <c r="N679" s="39"/>
    </row>
    <row r="680" spans="13:14">
      <c r="M680" s="38"/>
      <c r="N680" s="39"/>
    </row>
    <row r="681" spans="13:14">
      <c r="M681" s="38"/>
      <c r="N681" s="39"/>
    </row>
    <row r="682" spans="13:14">
      <c r="M682" s="38"/>
      <c r="N682" s="39"/>
    </row>
    <row r="683" spans="13:14">
      <c r="M683" s="38"/>
      <c r="N683" s="39"/>
    </row>
    <row r="684" spans="13:14">
      <c r="M684" s="38"/>
      <c r="N684" s="39"/>
    </row>
    <row r="685" spans="13:14">
      <c r="M685" s="38"/>
      <c r="N685" s="39"/>
    </row>
    <row r="686" spans="13:14">
      <c r="M686" s="38"/>
      <c r="N686" s="39"/>
    </row>
    <row r="687" spans="13:14">
      <c r="M687" s="38"/>
      <c r="N687" s="39"/>
    </row>
    <row r="688" spans="13:14">
      <c r="M688" s="38"/>
      <c r="N688" s="39"/>
    </row>
    <row r="689" spans="13:14">
      <c r="M689" s="38"/>
      <c r="N689" s="39"/>
    </row>
    <row r="690" spans="13:14">
      <c r="M690" s="38"/>
      <c r="N690" s="39"/>
    </row>
    <row r="691" spans="13:14">
      <c r="M691" s="38"/>
      <c r="N691" s="39"/>
    </row>
    <row r="692" spans="13:14">
      <c r="M692" s="38"/>
      <c r="N692" s="39"/>
    </row>
    <row r="693" spans="13:14">
      <c r="M693" s="38"/>
      <c r="N693" s="39"/>
    </row>
    <row r="694" spans="13:14">
      <c r="M694" s="38"/>
      <c r="N694" s="39"/>
    </row>
    <row r="695" spans="13:14">
      <c r="M695" s="38"/>
      <c r="N695" s="39"/>
    </row>
    <row r="696" spans="13:14">
      <c r="M696" s="38"/>
      <c r="N696" s="39"/>
    </row>
    <row r="697" spans="13:14">
      <c r="M697" s="38"/>
      <c r="N697" s="39"/>
    </row>
    <row r="698" spans="13:14">
      <c r="M698" s="38"/>
      <c r="N698" s="39"/>
    </row>
    <row r="699" spans="13:14">
      <c r="M699" s="38"/>
      <c r="N699" s="39"/>
    </row>
    <row r="700" spans="13:14">
      <c r="M700" s="38"/>
      <c r="N700" s="39"/>
    </row>
    <row r="701" spans="13:14">
      <c r="M701" s="38"/>
      <c r="N701" s="39"/>
    </row>
    <row r="702" spans="13:14">
      <c r="M702" s="38"/>
      <c r="N702" s="39"/>
    </row>
    <row r="703" spans="13:14">
      <c r="M703" s="38"/>
      <c r="N703" s="39"/>
    </row>
    <row r="704" spans="13:14">
      <c r="M704" s="38"/>
      <c r="N704" s="39"/>
    </row>
    <row r="705" spans="13:14">
      <c r="M705" s="38"/>
      <c r="N705" s="39"/>
    </row>
    <row r="706" spans="13:14">
      <c r="M706" s="38"/>
      <c r="N706" s="39"/>
    </row>
    <row r="707" spans="13:14">
      <c r="M707" s="38"/>
      <c r="N707" s="39"/>
    </row>
    <row r="708" spans="13:14">
      <c r="M708" s="38"/>
      <c r="N708" s="39"/>
    </row>
    <row r="709" spans="13:14">
      <c r="M709" s="38"/>
      <c r="N709" s="39"/>
    </row>
    <row r="710" spans="13:14">
      <c r="M710" s="38"/>
      <c r="N710" s="39"/>
    </row>
    <row r="711" spans="13:14">
      <c r="M711" s="38"/>
      <c r="N711" s="39"/>
    </row>
    <row r="712" spans="13:14">
      <c r="M712" s="38"/>
      <c r="N712" s="39"/>
    </row>
    <row r="713" spans="13:14">
      <c r="M713" s="38"/>
      <c r="N713" s="39"/>
    </row>
    <row r="714" spans="13:14">
      <c r="M714" s="38"/>
      <c r="N714" s="39"/>
    </row>
    <row r="715" spans="13:14">
      <c r="M715" s="38"/>
      <c r="N715" s="39"/>
    </row>
    <row r="716" spans="13:14">
      <c r="M716" s="38"/>
      <c r="N716" s="39"/>
    </row>
    <row r="717" spans="13:14">
      <c r="M717" s="38"/>
      <c r="N717" s="39"/>
    </row>
    <row r="718" spans="13:14">
      <c r="M718" s="38"/>
      <c r="N718" s="39"/>
    </row>
    <row r="719" spans="13:14">
      <c r="M719" s="38"/>
      <c r="N719" s="39"/>
    </row>
    <row r="720" spans="13:14">
      <c r="M720" s="38"/>
      <c r="N720" s="39"/>
    </row>
    <row r="721" spans="13:14">
      <c r="M721" s="38"/>
      <c r="N721" s="39"/>
    </row>
    <row r="722" spans="13:14">
      <c r="M722" s="38"/>
      <c r="N722" s="39"/>
    </row>
    <row r="723" spans="13:14">
      <c r="M723" s="38"/>
      <c r="N723" s="39"/>
    </row>
    <row r="724" spans="13:14">
      <c r="M724" s="38"/>
      <c r="N724" s="39"/>
    </row>
    <row r="725" spans="13:14">
      <c r="M725" s="38"/>
      <c r="N725" s="39"/>
    </row>
    <row r="726" spans="13:14">
      <c r="M726" s="38"/>
      <c r="N726" s="39"/>
    </row>
    <row r="727" spans="13:14">
      <c r="M727" s="38"/>
      <c r="N727" s="39"/>
    </row>
    <row r="728" spans="13:14">
      <c r="M728" s="38"/>
      <c r="N728" s="39"/>
    </row>
    <row r="729" spans="13:14">
      <c r="M729" s="38"/>
      <c r="N729" s="39"/>
    </row>
    <row r="730" spans="13:14">
      <c r="M730" s="38"/>
      <c r="N730" s="39"/>
    </row>
    <row r="731" spans="13:14">
      <c r="M731" s="38"/>
      <c r="N731" s="39"/>
    </row>
    <row r="732" spans="13:14">
      <c r="M732" s="38"/>
      <c r="N732" s="39"/>
    </row>
    <row r="733" spans="13:14">
      <c r="M733" s="38"/>
      <c r="N733" s="39"/>
    </row>
    <row r="734" spans="13:14">
      <c r="M734" s="38"/>
      <c r="N734" s="39"/>
    </row>
    <row r="735" spans="13:14">
      <c r="M735" s="38"/>
      <c r="N735" s="39"/>
    </row>
    <row r="736" spans="13:14">
      <c r="M736" s="38"/>
      <c r="N736" s="39"/>
    </row>
    <row r="737" spans="13:14">
      <c r="M737" s="38"/>
      <c r="N737" s="39"/>
    </row>
    <row r="738" spans="13:14">
      <c r="M738" s="38"/>
      <c r="N738" s="39"/>
    </row>
    <row r="739" spans="13:14">
      <c r="M739" s="38"/>
      <c r="N739" s="39"/>
    </row>
    <row r="740" spans="13:14">
      <c r="M740" s="38"/>
      <c r="N740" s="39"/>
    </row>
    <row r="741" spans="13:14">
      <c r="M741" s="38"/>
      <c r="N741" s="39"/>
    </row>
    <row r="742" spans="13:14">
      <c r="M742" s="38"/>
      <c r="N742" s="39"/>
    </row>
    <row r="743" spans="13:14">
      <c r="M743" s="38"/>
      <c r="N743" s="39"/>
    </row>
    <row r="744" spans="13:14">
      <c r="M744" s="38"/>
      <c r="N744" s="39"/>
    </row>
    <row r="745" spans="13:14">
      <c r="M745" s="38"/>
      <c r="N745" s="39"/>
    </row>
    <row r="746" spans="13:14">
      <c r="M746" s="38"/>
      <c r="N746" s="39"/>
    </row>
    <row r="747" spans="13:14">
      <c r="M747" s="38"/>
      <c r="N747" s="39"/>
    </row>
    <row r="748" spans="13:14">
      <c r="M748" s="38"/>
      <c r="N748" s="39"/>
    </row>
    <row r="749" spans="13:14">
      <c r="M749" s="38"/>
      <c r="N749" s="39"/>
    </row>
    <row r="750" spans="13:14">
      <c r="M750" s="38"/>
      <c r="N750" s="39"/>
    </row>
    <row r="751" spans="13:14">
      <c r="M751" s="38"/>
      <c r="N751" s="39"/>
    </row>
    <row r="752" spans="13:14">
      <c r="M752" s="38"/>
      <c r="N752" s="39"/>
    </row>
    <row r="753" spans="13:14">
      <c r="M753" s="38"/>
      <c r="N753" s="39"/>
    </row>
    <row r="754" spans="13:14">
      <c r="M754" s="38"/>
      <c r="N754" s="39"/>
    </row>
    <row r="755" spans="13:14">
      <c r="M755" s="38"/>
      <c r="N755" s="39"/>
    </row>
    <row r="756" spans="13:14">
      <c r="M756" s="38"/>
      <c r="N756" s="39"/>
    </row>
    <row r="757" spans="13:14">
      <c r="M757" s="38"/>
      <c r="N757" s="39"/>
    </row>
    <row r="758" spans="13:14">
      <c r="M758" s="38"/>
      <c r="N758" s="39"/>
    </row>
    <row r="759" spans="13:14">
      <c r="M759" s="38"/>
      <c r="N759" s="39"/>
    </row>
    <row r="760" spans="13:14">
      <c r="M760" s="38"/>
      <c r="N760" s="39"/>
    </row>
    <row r="761" spans="13:14">
      <c r="M761" s="38"/>
      <c r="N761" s="39"/>
    </row>
    <row r="762" spans="13:14">
      <c r="M762" s="38"/>
      <c r="N762" s="39"/>
    </row>
    <row r="763" spans="13:14">
      <c r="M763" s="38"/>
      <c r="N763" s="39"/>
    </row>
    <row r="764" spans="13:14">
      <c r="M764" s="38"/>
      <c r="N764" s="39"/>
    </row>
    <row r="765" spans="13:14">
      <c r="M765" s="38"/>
      <c r="N765" s="39"/>
    </row>
    <row r="766" spans="13:14">
      <c r="M766" s="38"/>
      <c r="N766" s="39"/>
    </row>
    <row r="767" spans="13:14">
      <c r="M767" s="38"/>
      <c r="N767" s="39"/>
    </row>
    <row r="768" spans="13:14">
      <c r="M768" s="38"/>
      <c r="N768" s="39"/>
    </row>
    <row r="769" spans="13:14">
      <c r="M769" s="38"/>
      <c r="N769" s="39"/>
    </row>
    <row r="770" spans="13:14">
      <c r="M770" s="38"/>
      <c r="N770" s="39"/>
    </row>
    <row r="771" spans="13:14">
      <c r="M771" s="38"/>
      <c r="N771" s="39"/>
    </row>
    <row r="772" spans="13:14">
      <c r="M772" s="38"/>
      <c r="N772" s="39"/>
    </row>
    <row r="773" spans="13:14">
      <c r="M773" s="38"/>
      <c r="N773" s="39"/>
    </row>
    <row r="774" spans="13:14">
      <c r="M774" s="38"/>
      <c r="N774" s="39"/>
    </row>
    <row r="775" spans="13:14">
      <c r="M775" s="38"/>
      <c r="N775" s="39"/>
    </row>
    <row r="776" spans="13:14">
      <c r="M776" s="38"/>
      <c r="N776" s="39"/>
    </row>
    <row r="777" spans="13:14">
      <c r="M777" s="38"/>
      <c r="N777" s="39"/>
    </row>
    <row r="778" spans="13:14">
      <c r="M778" s="38"/>
      <c r="N778" s="39"/>
    </row>
    <row r="779" spans="13:14">
      <c r="M779" s="38"/>
      <c r="N779" s="39"/>
    </row>
    <row r="780" spans="13:14">
      <c r="M780" s="38"/>
      <c r="N780" s="39"/>
    </row>
    <row r="781" spans="13:14">
      <c r="M781" s="38"/>
      <c r="N781" s="39"/>
    </row>
    <row r="782" spans="13:14">
      <c r="M782" s="38"/>
      <c r="N782" s="39"/>
    </row>
    <row r="783" spans="13:14">
      <c r="M783" s="38"/>
      <c r="N783" s="39"/>
    </row>
    <row r="784" spans="13:14">
      <c r="M784" s="38"/>
      <c r="N784" s="39"/>
    </row>
    <row r="785" spans="13:14">
      <c r="M785" s="38"/>
      <c r="N785" s="39"/>
    </row>
    <row r="786" spans="13:14">
      <c r="M786" s="38"/>
      <c r="N786" s="39"/>
    </row>
    <row r="787" spans="13:14">
      <c r="M787" s="38"/>
      <c r="N787" s="39"/>
    </row>
    <row r="788" spans="13:14">
      <c r="M788" s="38"/>
      <c r="N788" s="39"/>
    </row>
    <row r="789" spans="13:14">
      <c r="M789" s="38"/>
      <c r="N789" s="39"/>
    </row>
    <row r="790" spans="13:14">
      <c r="M790" s="38"/>
      <c r="N790" s="39"/>
    </row>
    <row r="791" spans="13:14">
      <c r="M791" s="38"/>
      <c r="N791" s="39"/>
    </row>
    <row r="792" spans="13:14">
      <c r="M792" s="38"/>
      <c r="N792" s="39"/>
    </row>
    <row r="793" spans="13:14">
      <c r="M793" s="38"/>
      <c r="N793" s="39"/>
    </row>
    <row r="794" spans="13:14">
      <c r="M794" s="38"/>
      <c r="N794" s="39"/>
    </row>
    <row r="795" spans="13:14">
      <c r="M795" s="38"/>
      <c r="N795" s="39"/>
    </row>
    <row r="796" spans="13:14">
      <c r="M796" s="38"/>
      <c r="N796" s="39"/>
    </row>
    <row r="797" spans="13:14">
      <c r="M797" s="38"/>
      <c r="N797" s="39"/>
    </row>
    <row r="798" spans="13:14">
      <c r="M798" s="38"/>
      <c r="N798" s="39"/>
    </row>
    <row r="799" spans="13:14">
      <c r="M799" s="38"/>
      <c r="N799" s="39"/>
    </row>
    <row r="800" spans="13:14">
      <c r="M800" s="38"/>
      <c r="N800" s="39"/>
    </row>
    <row r="801" spans="13:14">
      <c r="M801" s="38"/>
      <c r="N801" s="39"/>
    </row>
    <row r="802" spans="13:14">
      <c r="M802" s="38"/>
      <c r="N802" s="39"/>
    </row>
    <row r="803" spans="13:14">
      <c r="M803" s="38"/>
      <c r="N803" s="39"/>
    </row>
    <row r="804" spans="13:14">
      <c r="M804" s="38"/>
      <c r="N804" s="39"/>
    </row>
    <row r="805" spans="13:14">
      <c r="M805" s="38"/>
      <c r="N805" s="39"/>
    </row>
    <row r="806" spans="13:14">
      <c r="M806" s="38"/>
      <c r="N806" s="39"/>
    </row>
    <row r="807" spans="13:14">
      <c r="M807" s="38"/>
      <c r="N807" s="39"/>
    </row>
    <row r="808" spans="13:14">
      <c r="M808" s="38"/>
      <c r="N808" s="39"/>
    </row>
    <row r="809" spans="13:14">
      <c r="M809" s="38"/>
      <c r="N809" s="39"/>
    </row>
    <row r="810" spans="13:14">
      <c r="M810" s="38"/>
      <c r="N810" s="39"/>
    </row>
    <row r="811" spans="13:14">
      <c r="M811" s="38"/>
      <c r="N811" s="39"/>
    </row>
    <row r="812" spans="13:14">
      <c r="M812" s="38"/>
      <c r="N812" s="39"/>
    </row>
    <row r="813" spans="13:14">
      <c r="M813" s="38"/>
      <c r="N813" s="39"/>
    </row>
    <row r="814" spans="13:14">
      <c r="M814" s="38"/>
      <c r="N814" s="39"/>
    </row>
    <row r="815" spans="13:14">
      <c r="M815" s="38"/>
      <c r="N815" s="39"/>
    </row>
    <row r="816" spans="13:14">
      <c r="M816" s="38"/>
      <c r="N816" s="39"/>
    </row>
    <row r="817" spans="13:14">
      <c r="M817" s="38"/>
      <c r="N817" s="39"/>
    </row>
    <row r="818" spans="13:14">
      <c r="M818" s="38"/>
      <c r="N818" s="39"/>
    </row>
    <row r="819" spans="13:14">
      <c r="M819" s="38"/>
      <c r="N819" s="39"/>
    </row>
    <row r="820" spans="13:14">
      <c r="M820" s="38"/>
      <c r="N820" s="39"/>
    </row>
    <row r="821" spans="13:14">
      <c r="M821" s="38"/>
      <c r="N821" s="39"/>
    </row>
    <row r="822" spans="13:14">
      <c r="M822" s="38"/>
      <c r="N822" s="39"/>
    </row>
    <row r="823" spans="13:14">
      <c r="M823" s="38"/>
      <c r="N823" s="39"/>
    </row>
    <row r="824" spans="13:14">
      <c r="M824" s="38"/>
      <c r="N824" s="39"/>
    </row>
    <row r="825" spans="13:14">
      <c r="M825" s="38"/>
      <c r="N825" s="39"/>
    </row>
    <row r="826" spans="13:14">
      <c r="M826" s="38"/>
      <c r="N826" s="39"/>
    </row>
    <row r="827" spans="13:14">
      <c r="M827" s="38"/>
      <c r="N827" s="39"/>
    </row>
    <row r="828" spans="13:14">
      <c r="M828" s="38"/>
      <c r="N828" s="39"/>
    </row>
    <row r="829" spans="13:14">
      <c r="M829" s="38"/>
      <c r="N829" s="39"/>
    </row>
    <row r="830" spans="13:14">
      <c r="M830" s="38"/>
      <c r="N830" s="39"/>
    </row>
    <row r="831" spans="13:14">
      <c r="M831" s="38"/>
      <c r="N831" s="39"/>
    </row>
    <row r="832" spans="13:14">
      <c r="M832" s="38"/>
      <c r="N832" s="39"/>
    </row>
    <row r="833" spans="13:14">
      <c r="M833" s="38"/>
      <c r="N833" s="39"/>
    </row>
    <row r="834" spans="13:14">
      <c r="M834" s="38"/>
      <c r="N834" s="39"/>
    </row>
    <row r="835" spans="13:14">
      <c r="M835" s="38"/>
      <c r="N835" s="39"/>
    </row>
    <row r="836" spans="13:14">
      <c r="M836" s="38"/>
      <c r="N836" s="39"/>
    </row>
    <row r="837" spans="13:14">
      <c r="M837" s="38"/>
      <c r="N837" s="39"/>
    </row>
    <row r="838" spans="13:14">
      <c r="M838" s="38"/>
      <c r="N838" s="39"/>
    </row>
    <row r="839" spans="13:14">
      <c r="M839" s="38"/>
      <c r="N839" s="39"/>
    </row>
    <row r="840" spans="13:14">
      <c r="M840" s="38"/>
      <c r="N840" s="39"/>
    </row>
    <row r="841" spans="13:14">
      <c r="M841" s="38"/>
      <c r="N841" s="39"/>
    </row>
    <row r="842" spans="13:14">
      <c r="M842" s="38"/>
      <c r="N842" s="39"/>
    </row>
    <row r="843" spans="13:14">
      <c r="M843" s="38"/>
      <c r="N843" s="39"/>
    </row>
    <row r="844" spans="13:14">
      <c r="M844" s="38"/>
      <c r="N844" s="39"/>
    </row>
    <row r="845" spans="13:14">
      <c r="M845" s="38"/>
      <c r="N845" s="39"/>
    </row>
    <row r="846" spans="13:14">
      <c r="M846" s="38"/>
      <c r="N846" s="39"/>
    </row>
    <row r="847" spans="13:14">
      <c r="M847" s="38"/>
      <c r="N847" s="39"/>
    </row>
    <row r="848" spans="13:14">
      <c r="M848" s="38"/>
      <c r="N848" s="39"/>
    </row>
    <row r="849" spans="13:14">
      <c r="M849" s="38"/>
      <c r="N849" s="39"/>
    </row>
    <row r="850" spans="13:14">
      <c r="M850" s="38"/>
      <c r="N850" s="39"/>
    </row>
    <row r="851" spans="13:14">
      <c r="M851" s="38"/>
      <c r="N851" s="39"/>
    </row>
    <row r="852" spans="13:14">
      <c r="M852" s="38"/>
      <c r="N852" s="39"/>
    </row>
    <row r="853" spans="13:14">
      <c r="M853" s="38"/>
      <c r="N853" s="39"/>
    </row>
    <row r="854" spans="13:14">
      <c r="M854" s="38"/>
      <c r="N854" s="39"/>
    </row>
    <row r="855" spans="13:14">
      <c r="M855" s="38"/>
      <c r="N855" s="39"/>
    </row>
    <row r="856" spans="13:14">
      <c r="M856" s="38"/>
      <c r="N856" s="39"/>
    </row>
    <row r="857" spans="13:14">
      <c r="M857" s="38"/>
      <c r="N857" s="39"/>
    </row>
    <row r="858" spans="13:14">
      <c r="M858" s="38"/>
      <c r="N858" s="39"/>
    </row>
    <row r="859" spans="13:14">
      <c r="M859" s="38"/>
      <c r="N859" s="39"/>
    </row>
    <row r="860" spans="13:14">
      <c r="M860" s="38"/>
      <c r="N860" s="39"/>
    </row>
    <row r="861" spans="13:14">
      <c r="M861" s="38"/>
      <c r="N861" s="39"/>
    </row>
    <row r="862" spans="13:14">
      <c r="M862" s="38"/>
      <c r="N862" s="39"/>
    </row>
    <row r="863" spans="13:14">
      <c r="M863" s="38"/>
      <c r="N863" s="39"/>
    </row>
    <row r="864" spans="13:14">
      <c r="M864" s="38"/>
      <c r="N864" s="39"/>
    </row>
    <row r="865" spans="13:14">
      <c r="M865" s="38"/>
      <c r="N865" s="39"/>
    </row>
    <row r="866" spans="13:14">
      <c r="M866" s="38"/>
      <c r="N866" s="39"/>
    </row>
    <row r="867" spans="13:14">
      <c r="M867" s="38"/>
      <c r="N867" s="39"/>
    </row>
    <row r="868" spans="13:14">
      <c r="M868" s="38"/>
      <c r="N868" s="39"/>
    </row>
    <row r="869" spans="13:14">
      <c r="M869" s="38"/>
      <c r="N869" s="39"/>
    </row>
    <row r="870" spans="13:14">
      <c r="M870" s="38"/>
      <c r="N870" s="39"/>
    </row>
    <row r="871" spans="13:14">
      <c r="M871" s="38"/>
      <c r="N871" s="39"/>
    </row>
    <row r="872" spans="13:14">
      <c r="M872" s="38"/>
      <c r="N872" s="39"/>
    </row>
    <row r="873" spans="13:14">
      <c r="M873" s="38"/>
      <c r="N873" s="39"/>
    </row>
    <row r="874" spans="13:14">
      <c r="M874" s="38"/>
      <c r="N874" s="39"/>
    </row>
    <row r="875" spans="13:14">
      <c r="M875" s="38"/>
      <c r="N875" s="39"/>
    </row>
    <row r="876" spans="13:14">
      <c r="M876" s="38"/>
      <c r="N876" s="39"/>
    </row>
    <row r="877" spans="13:14">
      <c r="M877" s="38"/>
      <c r="N877" s="39"/>
    </row>
    <row r="878" spans="13:14">
      <c r="M878" s="38"/>
      <c r="N878" s="39"/>
    </row>
    <row r="879" spans="13:14">
      <c r="M879" s="38"/>
      <c r="N879" s="39"/>
    </row>
    <row r="880" spans="13:14">
      <c r="M880" s="38"/>
      <c r="N880" s="39"/>
    </row>
    <row r="881" spans="13:14">
      <c r="M881" s="38"/>
      <c r="N881" s="39"/>
    </row>
    <row r="882" spans="13:14">
      <c r="M882" s="38"/>
      <c r="N882" s="39"/>
    </row>
    <row r="883" spans="13:14">
      <c r="M883" s="38"/>
      <c r="N883" s="39"/>
    </row>
    <row r="884" spans="13:14">
      <c r="M884" s="38"/>
      <c r="N884" s="39"/>
    </row>
    <row r="885" spans="13:14">
      <c r="M885" s="38"/>
      <c r="N885" s="39"/>
    </row>
    <row r="886" spans="13:14">
      <c r="M886" s="38"/>
      <c r="N886" s="39"/>
    </row>
    <row r="887" spans="13:14">
      <c r="M887" s="38"/>
      <c r="N887" s="39"/>
    </row>
    <row r="888" spans="13:14">
      <c r="M888" s="38"/>
      <c r="N888" s="39"/>
    </row>
    <row r="889" spans="13:14">
      <c r="M889" s="38"/>
      <c r="N889" s="39"/>
    </row>
    <row r="890" spans="13:14">
      <c r="M890" s="38"/>
      <c r="N890" s="39"/>
    </row>
    <row r="891" spans="13:14">
      <c r="M891" s="38"/>
      <c r="N891" s="39"/>
    </row>
    <row r="892" spans="13:14">
      <c r="M892" s="38"/>
      <c r="N892" s="39"/>
    </row>
    <row r="893" spans="13:14">
      <c r="M893" s="38"/>
      <c r="N893" s="39"/>
    </row>
    <row r="894" spans="13:14">
      <c r="M894" s="38"/>
      <c r="N894" s="39"/>
    </row>
    <row r="895" spans="13:14">
      <c r="M895" s="38"/>
      <c r="N895" s="39"/>
    </row>
    <row r="896" spans="13:14">
      <c r="M896" s="38"/>
      <c r="N896" s="39"/>
    </row>
    <row r="897" spans="13:14">
      <c r="M897" s="38"/>
      <c r="N897" s="39"/>
    </row>
    <row r="898" spans="13:14">
      <c r="M898" s="38"/>
      <c r="N898" s="39"/>
    </row>
    <row r="899" spans="13:14">
      <c r="M899" s="38"/>
      <c r="N899" s="39"/>
    </row>
    <row r="900" spans="13:14">
      <c r="M900" s="38"/>
      <c r="N900" s="39"/>
    </row>
    <row r="901" spans="13:14">
      <c r="M901" s="38"/>
      <c r="N901" s="39"/>
    </row>
    <row r="902" spans="13:14">
      <c r="M902" s="38"/>
      <c r="N902" s="39"/>
    </row>
    <row r="903" spans="13:14">
      <c r="M903" s="38"/>
      <c r="N903" s="39"/>
    </row>
    <row r="904" spans="13:14">
      <c r="M904" s="38"/>
      <c r="N904" s="39"/>
    </row>
    <row r="905" spans="13:14">
      <c r="M905" s="38"/>
      <c r="N905" s="39"/>
    </row>
    <row r="906" spans="13:14">
      <c r="M906" s="38"/>
      <c r="N906" s="39"/>
    </row>
    <row r="907" spans="13:14">
      <c r="M907" s="38"/>
      <c r="N907" s="39"/>
    </row>
    <row r="908" spans="13:14">
      <c r="M908" s="38"/>
      <c r="N908" s="39"/>
    </row>
    <row r="909" spans="13:14">
      <c r="M909" s="38"/>
      <c r="N909" s="39"/>
    </row>
    <row r="910" spans="13:14">
      <c r="M910" s="38"/>
      <c r="N910" s="39"/>
    </row>
    <row r="911" spans="13:14">
      <c r="M911" s="38"/>
      <c r="N911" s="39"/>
    </row>
    <row r="912" spans="13:14">
      <c r="M912" s="38"/>
      <c r="N912" s="39"/>
    </row>
    <row r="913" spans="13:14">
      <c r="M913" s="38"/>
      <c r="N913" s="39"/>
    </row>
    <row r="914" spans="13:14">
      <c r="M914" s="38"/>
      <c r="N914" s="39"/>
    </row>
    <row r="915" spans="13:14">
      <c r="M915" s="38"/>
      <c r="N915" s="39"/>
    </row>
    <row r="916" spans="13:14">
      <c r="M916" s="38"/>
      <c r="N916" s="39"/>
    </row>
    <row r="917" spans="13:14">
      <c r="M917" s="38"/>
      <c r="N917" s="39"/>
    </row>
    <row r="918" spans="13:14">
      <c r="M918" s="38"/>
      <c r="N918" s="39"/>
    </row>
    <row r="919" spans="13:14">
      <c r="M919" s="38"/>
      <c r="N919" s="39"/>
    </row>
    <row r="920" spans="13:14">
      <c r="M920" s="38"/>
      <c r="N920" s="39"/>
    </row>
    <row r="921" spans="13:14">
      <c r="M921" s="38"/>
      <c r="N921" s="39"/>
    </row>
    <row r="922" spans="13:14">
      <c r="M922" s="38"/>
      <c r="N922" s="39"/>
    </row>
    <row r="923" spans="13:14">
      <c r="M923" s="38"/>
      <c r="N923" s="39"/>
    </row>
    <row r="924" spans="13:14">
      <c r="M924" s="38"/>
      <c r="N924" s="39"/>
    </row>
    <row r="925" spans="13:14">
      <c r="M925" s="38"/>
      <c r="N925" s="39"/>
    </row>
    <row r="926" spans="13:14">
      <c r="M926" s="38"/>
      <c r="N926" s="39"/>
    </row>
    <row r="927" spans="13:14">
      <c r="M927" s="38"/>
      <c r="N927" s="39"/>
    </row>
    <row r="928" spans="13:14">
      <c r="M928" s="38"/>
      <c r="N928" s="39"/>
    </row>
    <row r="929" spans="13:14">
      <c r="M929" s="38"/>
      <c r="N929" s="39"/>
    </row>
    <row r="930" spans="13:14">
      <c r="M930" s="38"/>
      <c r="N930" s="39"/>
    </row>
    <row r="931" spans="13:14">
      <c r="M931" s="38"/>
      <c r="N931" s="39"/>
    </row>
    <row r="932" spans="13:14">
      <c r="M932" s="38"/>
      <c r="N932" s="39"/>
    </row>
    <row r="933" spans="13:14">
      <c r="M933" s="38"/>
      <c r="N933" s="39"/>
    </row>
    <row r="934" spans="13:14">
      <c r="M934" s="38"/>
      <c r="N934" s="39"/>
    </row>
    <row r="935" spans="13:14">
      <c r="M935" s="38"/>
      <c r="N935" s="39"/>
    </row>
    <row r="936" spans="13:14">
      <c r="M936" s="38"/>
      <c r="N936" s="39"/>
    </row>
    <row r="937" spans="13:14">
      <c r="M937" s="38"/>
      <c r="N937" s="39"/>
    </row>
    <row r="938" spans="13:14">
      <c r="M938" s="38"/>
      <c r="N938" s="39"/>
    </row>
    <row r="939" spans="13:14">
      <c r="M939" s="38"/>
      <c r="N939" s="39"/>
    </row>
    <row r="940" spans="13:14">
      <c r="M940" s="38"/>
      <c r="N940" s="39"/>
    </row>
    <row r="941" spans="13:14">
      <c r="M941" s="38"/>
      <c r="N941" s="39"/>
    </row>
    <row r="942" spans="13:14">
      <c r="M942" s="38"/>
      <c r="N942" s="39"/>
    </row>
    <row r="943" spans="13:14">
      <c r="M943" s="38"/>
      <c r="N943" s="39"/>
    </row>
    <row r="944" spans="13:14">
      <c r="M944" s="38"/>
      <c r="N944" s="39"/>
    </row>
    <row r="945" spans="13:14">
      <c r="M945" s="38"/>
      <c r="N945" s="39"/>
    </row>
    <row r="946" spans="13:14">
      <c r="M946" s="38"/>
      <c r="N946" s="39"/>
    </row>
    <row r="947" spans="13:14">
      <c r="M947" s="38"/>
      <c r="N947" s="39"/>
    </row>
    <row r="948" spans="13:14">
      <c r="M948" s="38"/>
      <c r="N948" s="39"/>
    </row>
    <row r="949" spans="13:14">
      <c r="M949" s="38"/>
      <c r="N949" s="39"/>
    </row>
    <row r="950" spans="13:14">
      <c r="M950" s="38"/>
      <c r="N950" s="39"/>
    </row>
    <row r="951" spans="13:14">
      <c r="M951" s="38"/>
      <c r="N951" s="39"/>
    </row>
    <row r="952" spans="13:14">
      <c r="M952" s="38"/>
      <c r="N952" s="39"/>
    </row>
    <row r="953" spans="13:14">
      <c r="M953" s="38"/>
      <c r="N953" s="39"/>
    </row>
    <row r="954" spans="13:14">
      <c r="M954" s="38"/>
      <c r="N954" s="39"/>
    </row>
    <row r="955" spans="13:14">
      <c r="M955" s="38"/>
      <c r="N955" s="39"/>
    </row>
    <row r="956" spans="13:14">
      <c r="M956" s="38"/>
      <c r="N956" s="39"/>
    </row>
    <row r="957" spans="13:14">
      <c r="M957" s="38"/>
      <c r="N957" s="39"/>
    </row>
    <row r="958" spans="13:14">
      <c r="M958" s="38"/>
      <c r="N958" s="39"/>
    </row>
    <row r="959" spans="13:14">
      <c r="M959" s="38"/>
      <c r="N959" s="39"/>
    </row>
    <row r="960" spans="13:14">
      <c r="M960" s="38"/>
      <c r="N960" s="39"/>
    </row>
    <row r="961" spans="13:14">
      <c r="M961" s="38"/>
      <c r="N961" s="39"/>
    </row>
    <row r="962" spans="13:14">
      <c r="M962" s="38"/>
      <c r="N962" s="39"/>
    </row>
    <row r="963" spans="13:14">
      <c r="M963" s="38"/>
      <c r="N963" s="39"/>
    </row>
    <row r="964" spans="13:14">
      <c r="M964" s="38"/>
      <c r="N964" s="39"/>
    </row>
    <row r="965" spans="13:14">
      <c r="M965" s="38"/>
      <c r="N965" s="39"/>
    </row>
    <row r="966" spans="13:14">
      <c r="M966" s="38"/>
      <c r="N966" s="39"/>
    </row>
    <row r="967" spans="13:14">
      <c r="M967" s="38"/>
      <c r="N967" s="39"/>
    </row>
    <row r="968" spans="13:14">
      <c r="M968" s="38"/>
      <c r="N968" s="39"/>
    </row>
    <row r="969" spans="13:14">
      <c r="M969" s="38"/>
      <c r="N969" s="39"/>
    </row>
    <row r="970" spans="13:14">
      <c r="M970" s="38"/>
      <c r="N970" s="39"/>
    </row>
    <row r="971" spans="13:14">
      <c r="M971" s="38"/>
      <c r="N971" s="39"/>
    </row>
    <row r="972" spans="13:14">
      <c r="M972" s="38"/>
      <c r="N972" s="39"/>
    </row>
    <row r="973" spans="13:14">
      <c r="M973" s="38"/>
      <c r="N973" s="39"/>
    </row>
    <row r="974" spans="13:14">
      <c r="M974" s="38"/>
      <c r="N974" s="39"/>
    </row>
    <row r="975" spans="13:14">
      <c r="M975" s="38"/>
      <c r="N975" s="39"/>
    </row>
    <row r="976" spans="13:14">
      <c r="M976" s="38"/>
      <c r="N976" s="39"/>
    </row>
    <row r="977" spans="13:14">
      <c r="M977" s="38"/>
      <c r="N977" s="39"/>
    </row>
    <row r="978" spans="13:14">
      <c r="M978" s="38"/>
      <c r="N978" s="39"/>
    </row>
    <row r="979" spans="13:14">
      <c r="M979" s="38"/>
      <c r="N979" s="39"/>
    </row>
    <row r="980" spans="13:14">
      <c r="M980" s="38"/>
      <c r="N980" s="39"/>
    </row>
    <row r="981" spans="13:14">
      <c r="M981" s="38"/>
      <c r="N981" s="39"/>
    </row>
    <row r="982" spans="13:14">
      <c r="M982" s="38"/>
      <c r="N982" s="39"/>
    </row>
    <row r="983" spans="13:14">
      <c r="M983" s="38"/>
      <c r="N983" s="39"/>
    </row>
    <row r="984" spans="13:14">
      <c r="M984" s="38"/>
      <c r="N984" s="39"/>
    </row>
    <row r="985" spans="13:14">
      <c r="M985" s="38"/>
      <c r="N985" s="39"/>
    </row>
    <row r="986" spans="13:14">
      <c r="M986" s="38"/>
      <c r="N986" s="39"/>
    </row>
    <row r="987" spans="13:14">
      <c r="M987" s="38"/>
      <c r="N987" s="39"/>
    </row>
    <row r="988" spans="13:14">
      <c r="M988" s="38"/>
      <c r="N988" s="39"/>
    </row>
    <row r="989" spans="13:14">
      <c r="M989" s="38"/>
      <c r="N989" s="39"/>
    </row>
    <row r="990" spans="13:14">
      <c r="M990" s="38"/>
      <c r="N990" s="39"/>
    </row>
    <row r="991" spans="13:14">
      <c r="M991" s="38"/>
      <c r="N991" s="39"/>
    </row>
    <row r="992" spans="13:14">
      <c r="M992" s="38"/>
      <c r="N992" s="39"/>
    </row>
    <row r="993" spans="13:14">
      <c r="M993" s="38"/>
      <c r="N993" s="39"/>
    </row>
    <row r="994" spans="13:14">
      <c r="M994" s="38"/>
      <c r="N994" s="39"/>
    </row>
    <row r="995" spans="13:14">
      <c r="M995" s="38"/>
      <c r="N995" s="39"/>
    </row>
    <row r="996" spans="13:14">
      <c r="M996" s="38"/>
      <c r="N996" s="39"/>
    </row>
    <row r="997" spans="13:14">
      <c r="M997" s="38"/>
      <c r="N997" s="39"/>
    </row>
    <row r="998" spans="13:14">
      <c r="M998" s="38"/>
      <c r="N998" s="39"/>
    </row>
    <row r="999" spans="13:14">
      <c r="M999" s="38"/>
      <c r="N999" s="39"/>
    </row>
    <row r="1000" spans="13:14">
      <c r="M1000" s="38"/>
      <c r="N1000" s="39"/>
    </row>
    <row r="1001" spans="13:14">
      <c r="M1001" s="38"/>
      <c r="N1001" s="39"/>
    </row>
    <row r="1002" spans="13:14">
      <c r="M1002" s="38"/>
      <c r="N1002" s="39"/>
    </row>
    <row r="1003" spans="13:14">
      <c r="M1003" s="38"/>
      <c r="N1003" s="39"/>
    </row>
    <row r="1004" spans="13:14">
      <c r="M1004" s="38"/>
      <c r="N1004" s="39"/>
    </row>
    <row r="1005" spans="13:14">
      <c r="M1005" s="38"/>
      <c r="N1005" s="39"/>
    </row>
    <row r="1006" spans="13:14">
      <c r="M1006" s="38"/>
      <c r="N1006" s="39"/>
    </row>
    <row r="1007" spans="13:14">
      <c r="M1007" s="38"/>
      <c r="N1007" s="39"/>
    </row>
    <row r="1008" spans="13:14">
      <c r="M1008" s="38"/>
      <c r="N1008" s="39"/>
    </row>
    <row r="1009" spans="13:14">
      <c r="M1009" s="38"/>
      <c r="N1009" s="39"/>
    </row>
    <row r="1010" spans="13:14">
      <c r="M1010" s="38"/>
      <c r="N1010" s="39"/>
    </row>
    <row r="1011" spans="13:14">
      <c r="M1011" s="38"/>
      <c r="N1011" s="39"/>
    </row>
    <row r="1012" spans="13:14">
      <c r="M1012" s="38"/>
      <c r="N1012" s="39"/>
    </row>
    <row r="1013" spans="13:14">
      <c r="M1013" s="38"/>
      <c r="N1013" s="39"/>
    </row>
    <row r="1014" spans="13:14">
      <c r="M1014" s="38"/>
      <c r="N1014" s="39"/>
    </row>
    <row r="1015" spans="13:14">
      <c r="M1015" s="38"/>
      <c r="N1015" s="39"/>
    </row>
    <row r="1016" spans="13:14">
      <c r="M1016" s="38"/>
      <c r="N1016" s="39"/>
    </row>
    <row r="1017" spans="13:14">
      <c r="M1017" s="38"/>
      <c r="N1017" s="39"/>
    </row>
    <row r="1018" spans="13:14">
      <c r="M1018" s="38"/>
      <c r="N1018" s="39"/>
    </row>
    <row r="1019" spans="13:14">
      <c r="M1019" s="38"/>
      <c r="N1019" s="39"/>
    </row>
    <row r="1020" spans="13:14">
      <c r="M1020" s="38"/>
      <c r="N1020" s="39"/>
    </row>
    <row r="1021" spans="13:14">
      <c r="M1021" s="38"/>
      <c r="N1021" s="39"/>
    </row>
    <row r="1022" spans="13:14">
      <c r="M1022" s="38"/>
      <c r="N1022" s="39"/>
    </row>
    <row r="1023" spans="13:14">
      <c r="M1023" s="38"/>
      <c r="N1023" s="39"/>
    </row>
    <row r="1024" spans="13:14">
      <c r="M1024" s="38"/>
      <c r="N1024" s="39"/>
    </row>
    <row r="1025" spans="13:14">
      <c r="M1025" s="38"/>
      <c r="N1025" s="39"/>
    </row>
    <row r="1026" spans="13:14">
      <c r="M1026" s="38"/>
      <c r="N1026" s="39"/>
    </row>
    <row r="1027" spans="13:14">
      <c r="M1027" s="38"/>
      <c r="N1027" s="39"/>
    </row>
    <row r="1028" spans="13:14">
      <c r="M1028" s="38"/>
      <c r="N1028" s="39"/>
    </row>
    <row r="1029" spans="13:14">
      <c r="M1029" s="38"/>
      <c r="N1029" s="39"/>
    </row>
    <row r="1030" spans="13:14">
      <c r="M1030" s="38"/>
      <c r="N1030" s="39"/>
    </row>
    <row r="1031" spans="13:14">
      <c r="M1031" s="38"/>
      <c r="N1031" s="39"/>
    </row>
    <row r="1032" spans="13:14">
      <c r="M1032" s="38"/>
      <c r="N1032" s="39"/>
    </row>
    <row r="1033" spans="13:14">
      <c r="M1033" s="38"/>
      <c r="N1033" s="39"/>
    </row>
    <row r="1034" spans="13:14">
      <c r="M1034" s="38"/>
      <c r="N1034" s="39"/>
    </row>
    <row r="1035" spans="13:14">
      <c r="M1035" s="38"/>
      <c r="N1035" s="39"/>
    </row>
    <row r="1036" spans="13:14">
      <c r="M1036" s="38"/>
      <c r="N1036" s="39"/>
    </row>
    <row r="1037" spans="13:14">
      <c r="M1037" s="38"/>
      <c r="N1037" s="39"/>
    </row>
    <row r="1038" spans="13:14">
      <c r="M1038" s="38"/>
      <c r="N1038" s="39"/>
    </row>
    <row r="1039" spans="13:14">
      <c r="M1039" s="38"/>
      <c r="N1039" s="39"/>
    </row>
    <row r="1040" spans="13:14">
      <c r="M1040" s="38"/>
      <c r="N1040" s="39"/>
    </row>
    <row r="1041" spans="13:14">
      <c r="M1041" s="38"/>
      <c r="N1041" s="39"/>
    </row>
    <row r="1042" spans="13:14">
      <c r="M1042" s="38"/>
      <c r="N1042" s="39"/>
    </row>
    <row r="1043" spans="13:14">
      <c r="M1043" s="38"/>
      <c r="N1043" s="39"/>
    </row>
    <row r="1044" spans="13:14">
      <c r="M1044" s="38"/>
      <c r="N1044" s="39"/>
    </row>
    <row r="1045" spans="13:14">
      <c r="M1045" s="38"/>
      <c r="N1045" s="39"/>
    </row>
    <row r="1046" spans="13:14">
      <c r="M1046" s="38"/>
      <c r="N1046" s="39"/>
    </row>
    <row r="1047" spans="13:14">
      <c r="M1047" s="38"/>
      <c r="N1047" s="39"/>
    </row>
    <row r="1048" spans="13:14">
      <c r="M1048" s="38"/>
      <c r="N1048" s="39"/>
    </row>
    <row r="1049" spans="13:14">
      <c r="M1049" s="38"/>
      <c r="N1049" s="39"/>
    </row>
    <row r="1050" spans="13:14">
      <c r="M1050" s="38"/>
      <c r="N1050" s="39"/>
    </row>
    <row r="1051" spans="13:14">
      <c r="M1051" s="38"/>
      <c r="N1051" s="39"/>
    </row>
    <row r="1052" spans="13:14">
      <c r="M1052" s="38"/>
      <c r="N1052" s="39"/>
    </row>
    <row r="1053" spans="13:14">
      <c r="M1053" s="38"/>
      <c r="N1053" s="39"/>
    </row>
    <row r="1054" spans="13:14">
      <c r="M1054" s="38"/>
      <c r="N1054" s="39"/>
    </row>
    <row r="1055" spans="13:14">
      <c r="M1055" s="38"/>
      <c r="N1055" s="39"/>
    </row>
    <row r="1056" spans="13:14">
      <c r="M1056" s="38"/>
      <c r="N1056" s="39"/>
    </row>
    <row r="1057" spans="13:14">
      <c r="M1057" s="38"/>
      <c r="N1057" s="39"/>
    </row>
    <row r="1058" spans="13:14">
      <c r="M1058" s="38"/>
      <c r="N1058" s="39"/>
    </row>
    <row r="1059" spans="13:14">
      <c r="M1059" s="38"/>
      <c r="N1059" s="39"/>
    </row>
    <row r="1060" spans="13:14">
      <c r="M1060" s="38"/>
      <c r="N1060" s="39"/>
    </row>
    <row r="1061" spans="13:14">
      <c r="M1061" s="38"/>
      <c r="N1061" s="39"/>
    </row>
    <row r="1062" spans="13:14">
      <c r="M1062" s="38"/>
      <c r="N1062" s="39"/>
    </row>
    <row r="1063" spans="13:14">
      <c r="M1063" s="38"/>
      <c r="N1063" s="39"/>
    </row>
    <row r="1064" spans="13:14">
      <c r="M1064" s="38"/>
      <c r="N1064" s="39"/>
    </row>
    <row r="1065" spans="13:14">
      <c r="M1065" s="38"/>
      <c r="N1065" s="39"/>
    </row>
    <row r="1066" spans="13:14">
      <c r="M1066" s="38"/>
      <c r="N1066" s="39"/>
    </row>
    <row r="1067" spans="13:14">
      <c r="M1067" s="38"/>
      <c r="N1067" s="39"/>
    </row>
    <row r="1068" spans="13:14">
      <c r="M1068" s="38"/>
      <c r="N1068" s="39"/>
    </row>
    <row r="1069" spans="13:14">
      <c r="M1069" s="38"/>
      <c r="N1069" s="39"/>
    </row>
    <row r="1070" spans="13:14">
      <c r="M1070" s="38"/>
      <c r="N1070" s="39"/>
    </row>
    <row r="1071" spans="13:14">
      <c r="M1071" s="38"/>
      <c r="N1071" s="39"/>
    </row>
    <row r="1072" spans="13:14">
      <c r="M1072" s="38"/>
      <c r="N1072" s="39"/>
    </row>
    <row r="1073" spans="13:14">
      <c r="M1073" s="38"/>
      <c r="N1073" s="39"/>
    </row>
    <row r="1074" spans="13:14">
      <c r="M1074" s="38"/>
      <c r="N1074" s="39"/>
    </row>
    <row r="1075" spans="13:14">
      <c r="M1075" s="38"/>
      <c r="N1075" s="39"/>
    </row>
    <row r="1076" spans="13:14">
      <c r="M1076" s="38"/>
      <c r="N1076" s="39"/>
    </row>
    <row r="1077" spans="13:14">
      <c r="M1077" s="38"/>
      <c r="N1077" s="39"/>
    </row>
    <row r="1078" spans="13:14">
      <c r="M1078" s="38"/>
      <c r="N1078" s="39"/>
    </row>
    <row r="1079" spans="13:14">
      <c r="M1079" s="38"/>
      <c r="N1079" s="39"/>
    </row>
    <row r="1080" spans="13:14">
      <c r="M1080" s="38"/>
      <c r="N1080" s="39"/>
    </row>
    <row r="1081" spans="13:14">
      <c r="M1081" s="38"/>
      <c r="N1081" s="39"/>
    </row>
    <row r="1082" spans="13:14">
      <c r="M1082" s="38"/>
      <c r="N1082" s="39"/>
    </row>
    <row r="1083" spans="13:14">
      <c r="M1083" s="38"/>
      <c r="N1083" s="39"/>
    </row>
    <row r="1084" spans="13:14">
      <c r="M1084" s="38"/>
      <c r="N1084" s="39"/>
    </row>
    <row r="1085" spans="13:14">
      <c r="M1085" s="38"/>
      <c r="N1085" s="39"/>
    </row>
    <row r="1086" spans="13:14">
      <c r="M1086" s="38"/>
      <c r="N1086" s="39"/>
    </row>
    <row r="1087" spans="13:14">
      <c r="M1087" s="38"/>
      <c r="N1087" s="39"/>
    </row>
    <row r="1088" spans="13:14">
      <c r="M1088" s="38"/>
      <c r="N1088" s="39"/>
    </row>
    <row r="1089" spans="13:14">
      <c r="M1089" s="38"/>
      <c r="N1089" s="39"/>
    </row>
    <row r="1090" spans="13:14">
      <c r="M1090" s="38"/>
      <c r="N1090" s="39"/>
    </row>
    <row r="1091" spans="13:14">
      <c r="M1091" s="38"/>
      <c r="N1091" s="39"/>
    </row>
    <row r="1092" spans="13:14">
      <c r="M1092" s="38"/>
      <c r="N1092" s="39"/>
    </row>
    <row r="1093" spans="13:14">
      <c r="M1093" s="38"/>
      <c r="N1093" s="39"/>
    </row>
    <row r="1094" spans="13:14">
      <c r="M1094" s="38"/>
      <c r="N1094" s="39"/>
    </row>
    <row r="1095" spans="13:14">
      <c r="M1095" s="38"/>
      <c r="N1095" s="39"/>
    </row>
    <row r="1096" spans="13:14">
      <c r="M1096" s="38"/>
      <c r="N1096" s="39"/>
    </row>
    <row r="1097" spans="13:14">
      <c r="M1097" s="38"/>
      <c r="N1097" s="39"/>
    </row>
    <row r="1098" spans="13:14">
      <c r="M1098" s="38"/>
      <c r="N1098" s="39"/>
    </row>
    <row r="1099" spans="13:14">
      <c r="M1099" s="38"/>
      <c r="N1099" s="39"/>
    </row>
    <row r="1100" spans="13:14">
      <c r="M1100" s="38"/>
      <c r="N1100" s="39"/>
    </row>
    <row r="1101" spans="13:14">
      <c r="M1101" s="38"/>
      <c r="N1101" s="39"/>
    </row>
    <row r="1102" spans="13:14">
      <c r="M1102" s="38"/>
      <c r="N1102" s="39"/>
    </row>
    <row r="1103" spans="13:14">
      <c r="M1103" s="38"/>
      <c r="N1103" s="39"/>
    </row>
    <row r="1104" spans="13:14">
      <c r="M1104" s="38"/>
      <c r="N1104" s="39"/>
    </row>
    <row r="1105" spans="13:14">
      <c r="M1105" s="38"/>
      <c r="N1105" s="39"/>
    </row>
    <row r="1106" spans="13:14">
      <c r="M1106" s="38"/>
      <c r="N1106" s="39"/>
    </row>
    <row r="1107" spans="13:14">
      <c r="M1107" s="38"/>
      <c r="N1107" s="39"/>
    </row>
    <row r="1108" spans="13:14">
      <c r="M1108" s="38"/>
      <c r="N1108" s="39"/>
    </row>
    <row r="1109" spans="13:14">
      <c r="M1109" s="38"/>
      <c r="N1109" s="39"/>
    </row>
    <row r="1110" spans="13:14">
      <c r="M1110" s="38"/>
      <c r="N1110" s="39"/>
    </row>
    <row r="1111" spans="13:14">
      <c r="M1111" s="38"/>
      <c r="N1111" s="39"/>
    </row>
    <row r="1112" spans="13:14">
      <c r="M1112" s="38"/>
      <c r="N1112" s="39"/>
    </row>
    <row r="1113" spans="13:14">
      <c r="M1113" s="38"/>
      <c r="N1113" s="39"/>
    </row>
    <row r="1114" spans="13:14">
      <c r="M1114" s="38"/>
      <c r="N1114" s="39"/>
    </row>
    <row r="1115" spans="13:14">
      <c r="M1115" s="38"/>
      <c r="N1115" s="39"/>
    </row>
    <row r="1116" spans="13:14">
      <c r="M1116" s="38"/>
      <c r="N1116" s="39"/>
    </row>
    <row r="1117" spans="13:14">
      <c r="M1117" s="38"/>
      <c r="N1117" s="39"/>
    </row>
    <row r="1118" spans="13:14">
      <c r="M1118" s="38"/>
      <c r="N1118" s="39"/>
    </row>
    <row r="1119" spans="13:14">
      <c r="M1119" s="38"/>
      <c r="N1119" s="39"/>
    </row>
    <row r="1120" spans="13:14">
      <c r="M1120" s="38"/>
      <c r="N1120" s="39"/>
    </row>
    <row r="1121" spans="13:14">
      <c r="M1121" s="38"/>
      <c r="N1121" s="39"/>
    </row>
    <row r="1122" spans="13:14">
      <c r="M1122" s="38"/>
      <c r="N1122" s="39"/>
    </row>
    <row r="1123" spans="13:14">
      <c r="M1123" s="38"/>
      <c r="N1123" s="39"/>
    </row>
    <row r="1124" spans="13:14">
      <c r="M1124" s="38"/>
      <c r="N1124" s="39"/>
    </row>
    <row r="1125" spans="13:14">
      <c r="M1125" s="38"/>
      <c r="N1125" s="39"/>
    </row>
    <row r="1126" spans="13:14">
      <c r="M1126" s="38"/>
      <c r="N1126" s="39"/>
    </row>
    <row r="1127" spans="13:14">
      <c r="M1127" s="38"/>
      <c r="N1127" s="39"/>
    </row>
    <row r="1128" spans="13:14">
      <c r="M1128" s="38"/>
      <c r="N1128" s="39"/>
    </row>
    <row r="1129" spans="13:14">
      <c r="M1129" s="38"/>
      <c r="N1129" s="39"/>
    </row>
    <row r="1130" spans="13:14">
      <c r="M1130" s="38"/>
      <c r="N1130" s="39"/>
    </row>
    <row r="1131" spans="13:14">
      <c r="M1131" s="38"/>
      <c r="N1131" s="39"/>
    </row>
    <row r="1132" spans="13:14">
      <c r="M1132" s="38"/>
      <c r="N1132" s="39"/>
    </row>
    <row r="1133" spans="13:14">
      <c r="M1133" s="38"/>
      <c r="N1133" s="39"/>
    </row>
    <row r="1134" spans="13:14">
      <c r="M1134" s="38"/>
      <c r="N1134" s="39"/>
    </row>
    <row r="1135" spans="13:14">
      <c r="M1135" s="38"/>
      <c r="N1135" s="39"/>
    </row>
    <row r="1136" spans="13:14">
      <c r="M1136" s="38"/>
      <c r="N1136" s="39"/>
    </row>
    <row r="1137" spans="13:14">
      <c r="M1137" s="38"/>
      <c r="N1137" s="39"/>
    </row>
    <row r="1138" spans="13:14">
      <c r="M1138" s="38"/>
      <c r="N1138" s="39"/>
    </row>
    <row r="1139" spans="13:14">
      <c r="M1139" s="38"/>
      <c r="N1139" s="39"/>
    </row>
    <row r="1140" spans="13:14">
      <c r="M1140" s="38"/>
      <c r="N1140" s="39"/>
    </row>
    <row r="1141" spans="13:14">
      <c r="M1141" s="38"/>
      <c r="N1141" s="39"/>
    </row>
    <row r="1142" spans="13:14">
      <c r="M1142" s="38"/>
      <c r="N1142" s="39"/>
    </row>
    <row r="1143" spans="13:14">
      <c r="M1143" s="38"/>
      <c r="N1143" s="39"/>
    </row>
    <row r="1144" spans="13:14">
      <c r="M1144" s="38"/>
      <c r="N1144" s="39"/>
    </row>
    <row r="1145" spans="13:14">
      <c r="M1145" s="38"/>
      <c r="N1145" s="39"/>
    </row>
    <row r="1146" spans="13:14">
      <c r="M1146" s="38"/>
      <c r="N1146" s="39"/>
    </row>
    <row r="1147" spans="13:14">
      <c r="M1147" s="38"/>
      <c r="N1147" s="39"/>
    </row>
    <row r="1148" spans="13:14">
      <c r="M1148" s="38"/>
      <c r="N1148" s="39"/>
    </row>
    <row r="1149" spans="13:14">
      <c r="M1149" s="38"/>
      <c r="N1149" s="39"/>
    </row>
    <row r="1150" spans="13:14">
      <c r="M1150" s="38"/>
      <c r="N1150" s="39"/>
    </row>
    <row r="1151" spans="13:14">
      <c r="M1151" s="38"/>
      <c r="N1151" s="39"/>
    </row>
    <row r="1152" spans="13:14">
      <c r="M1152" s="38"/>
      <c r="N1152" s="39"/>
    </row>
    <row r="1153" spans="13:14">
      <c r="M1153" s="38"/>
      <c r="N1153" s="39"/>
    </row>
    <row r="1154" spans="13:14">
      <c r="M1154" s="38"/>
      <c r="N1154" s="39"/>
    </row>
    <row r="1155" spans="13:14">
      <c r="M1155" s="38"/>
      <c r="N1155" s="39"/>
    </row>
    <row r="1156" spans="13:14">
      <c r="M1156" s="38"/>
      <c r="N1156" s="39"/>
    </row>
    <row r="1157" spans="13:14">
      <c r="M1157" s="38"/>
      <c r="N1157" s="39"/>
    </row>
    <row r="1158" spans="13:14">
      <c r="M1158" s="38"/>
      <c r="N1158" s="39"/>
    </row>
    <row r="1159" spans="13:14">
      <c r="M1159" s="38"/>
      <c r="N1159" s="39"/>
    </row>
    <row r="1160" spans="13:14">
      <c r="M1160" s="38"/>
      <c r="N1160" s="39"/>
    </row>
  </sheetData>
  <mergeCells count="5">
    <mergeCell ref="B8:K28"/>
    <mergeCell ref="J5:K5"/>
    <mergeCell ref="J6:K6"/>
    <mergeCell ref="B2:N2"/>
    <mergeCell ref="G3:N3"/>
  </mergeCells>
  <pageMargins left="0.7" right="0.7" top="0.75" bottom="0.75" header="0.3" footer="0.3"/>
  <pageSetup paperSize="9" orientation="portrait" r:id="rId1"/>
  <ignoredErrors>
    <ignoredError sqref="J6" unlocked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>
    <tabColor rgb="FF002060"/>
  </sheetPr>
  <dimension ref="B1:AA1160"/>
  <sheetViews>
    <sheetView showGridLines="0" workbookViewId="0">
      <selection activeCell="D6" sqref="D6"/>
    </sheetView>
  </sheetViews>
  <sheetFormatPr defaultColWidth="9.140625" defaultRowHeight="15.75"/>
  <cols>
    <col min="1" max="11" width="9.140625" style="1"/>
    <col min="12" max="12" width="3.85546875" style="1" customWidth="1"/>
    <col min="13" max="13" width="11.28515625" style="1" customWidth="1"/>
    <col min="14" max="14" width="11.28515625" style="33" customWidth="1"/>
    <col min="15" max="15" width="9.140625" style="1"/>
    <col min="16" max="18" width="9.140625" style="1" customWidth="1"/>
    <col min="19" max="16384" width="9.140625" style="1"/>
  </cols>
  <sheetData>
    <row r="1" spans="2:27" ht="16.5" thickBot="1"/>
    <row r="2" spans="2:27" ht="21" thickTop="1">
      <c r="B2" s="272" t="s">
        <v>241</v>
      </c>
      <c r="C2" s="273"/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4"/>
      <c r="Q2" s="204"/>
      <c r="R2" s="205"/>
      <c r="S2" s="205"/>
      <c r="T2" s="205"/>
      <c r="U2" s="205"/>
      <c r="V2" s="205"/>
      <c r="W2" s="205"/>
      <c r="X2" s="205"/>
      <c r="Y2" s="205"/>
      <c r="Z2" s="205"/>
      <c r="AA2" s="206"/>
    </row>
    <row r="3" spans="2:27" ht="16.5" thickBot="1">
      <c r="B3" s="46" t="s">
        <v>151</v>
      </c>
      <c r="C3" s="47"/>
      <c r="D3" s="48" t="str">
        <f>'CALCUL RPA'!$D$3</f>
        <v>Vers 1.5.1</v>
      </c>
      <c r="E3" s="49"/>
      <c r="F3" s="49"/>
      <c r="G3" s="275"/>
      <c r="H3" s="275"/>
      <c r="I3" s="275"/>
      <c r="J3" s="275"/>
      <c r="K3" s="275"/>
      <c r="L3" s="275"/>
      <c r="M3" s="275"/>
      <c r="N3" s="276"/>
      <c r="Q3" s="207"/>
      <c r="R3" s="31"/>
      <c r="S3" s="31"/>
      <c r="T3" s="31"/>
      <c r="U3" s="31"/>
      <c r="V3" s="31"/>
      <c r="W3" s="31"/>
      <c r="X3" s="31"/>
      <c r="Y3" s="31"/>
      <c r="Z3" s="31"/>
      <c r="AA3" s="208"/>
    </row>
    <row r="4" spans="2:27" ht="16.5" thickTop="1">
      <c r="P4" s="32"/>
      <c r="Q4" s="207"/>
      <c r="R4" s="31"/>
      <c r="S4" s="31"/>
      <c r="T4" s="31"/>
      <c r="U4" s="31"/>
      <c r="V4" s="31"/>
      <c r="W4" s="31"/>
      <c r="X4" s="31"/>
      <c r="Y4" s="31"/>
      <c r="Z4" s="31"/>
      <c r="AA4" s="208"/>
    </row>
    <row r="5" spans="2:27" ht="16.5">
      <c r="B5" s="79" t="s">
        <v>15</v>
      </c>
      <c r="C5" s="79" t="s">
        <v>233</v>
      </c>
      <c r="D5" s="79" t="s">
        <v>7</v>
      </c>
      <c r="E5" s="79" t="s">
        <v>2</v>
      </c>
      <c r="F5" s="79" t="s">
        <v>18</v>
      </c>
      <c r="G5" s="79" t="s">
        <v>19</v>
      </c>
      <c r="H5" s="79" t="s">
        <v>36</v>
      </c>
      <c r="I5" s="85" t="s">
        <v>235</v>
      </c>
      <c r="J5" s="263" t="s">
        <v>236</v>
      </c>
      <c r="K5" s="263"/>
      <c r="Q5" s="207"/>
      <c r="R5" s="31"/>
      <c r="S5" s="31"/>
      <c r="T5" s="31"/>
      <c r="U5" s="31"/>
      <c r="V5" s="31"/>
      <c r="W5" s="31"/>
      <c r="X5" s="31"/>
      <c r="Y5" s="31"/>
      <c r="Z5" s="31"/>
      <c r="AA5" s="208"/>
    </row>
    <row r="6" spans="2:27" ht="16.5" thickBot="1">
      <c r="B6" s="82">
        <f>'CALCUL RPA'!$G$19</f>
        <v>7.0000000000000007E-2</v>
      </c>
      <c r="C6" s="82">
        <f>'CALCUL RPA'!$Z$33</f>
        <v>3.8500000000000006E-2</v>
      </c>
      <c r="D6" s="82">
        <f>'CALCUL RPA'!$I$47</f>
        <v>1</v>
      </c>
      <c r="E6" s="82">
        <f>'CALCUL RPA'!$J$8</f>
        <v>4.5</v>
      </c>
      <c r="F6" s="82">
        <f>'CALCUL RPA'!$Z$34</f>
        <v>0.05</v>
      </c>
      <c r="G6" s="82">
        <f>'CALCUL RPA'!$Z$35</f>
        <v>0.15</v>
      </c>
      <c r="H6" s="82">
        <f>'CALCUL RPA'!$Z$36</f>
        <v>1</v>
      </c>
      <c r="I6" s="82">
        <f>'CALCUL RPA'!$Z$37</f>
        <v>0.8</v>
      </c>
      <c r="J6" s="339">
        <f>0.2*$C$6*$D$6</f>
        <v>7.700000000000002E-3</v>
      </c>
      <c r="K6" s="339"/>
      <c r="L6" s="226"/>
      <c r="Q6" s="207"/>
      <c r="R6" s="31"/>
      <c r="S6" s="31"/>
      <c r="T6" s="31"/>
      <c r="U6" s="31"/>
      <c r="V6" s="31"/>
      <c r="W6" s="31"/>
      <c r="X6" s="31"/>
      <c r="Y6" s="31"/>
      <c r="Z6" s="31"/>
      <c r="AA6" s="208"/>
    </row>
    <row r="7" spans="2:27" ht="16.5" thickBot="1">
      <c r="P7" s="244" t="s">
        <v>133</v>
      </c>
      <c r="Q7" s="207"/>
      <c r="R7" s="31"/>
      <c r="S7" s="31"/>
      <c r="T7" s="31"/>
      <c r="U7" s="31"/>
      <c r="V7" s="31"/>
      <c r="W7" s="31"/>
      <c r="X7" s="31"/>
      <c r="Y7" s="31"/>
      <c r="Z7" s="31"/>
      <c r="AA7" s="208"/>
    </row>
    <row r="8" spans="2:27">
      <c r="B8" s="328"/>
      <c r="C8" s="329"/>
      <c r="D8" s="329"/>
      <c r="E8" s="329"/>
      <c r="F8" s="329"/>
      <c r="G8" s="329"/>
      <c r="H8" s="329"/>
      <c r="I8" s="329"/>
      <c r="J8" s="329"/>
      <c r="K8" s="330"/>
      <c r="M8" s="79" t="s">
        <v>41</v>
      </c>
      <c r="N8" s="79" t="s">
        <v>243</v>
      </c>
      <c r="P8" s="245" t="s">
        <v>129</v>
      </c>
      <c r="Q8" s="207"/>
      <c r="R8" s="31"/>
      <c r="S8" s="31"/>
      <c r="T8" s="31"/>
      <c r="U8" s="31"/>
      <c r="V8" s="31"/>
      <c r="W8" s="31"/>
      <c r="X8" s="31"/>
      <c r="Y8" s="31"/>
      <c r="Z8" s="31"/>
      <c r="AA8" s="208"/>
    </row>
    <row r="9" spans="2:27">
      <c r="B9" s="331"/>
      <c r="C9" s="332"/>
      <c r="D9" s="332"/>
      <c r="E9" s="332"/>
      <c r="F9" s="332"/>
      <c r="G9" s="332"/>
      <c r="H9" s="332"/>
      <c r="I9" s="332"/>
      <c r="J9" s="332"/>
      <c r="K9" s="333"/>
      <c r="M9" s="80">
        <v>0</v>
      </c>
      <c r="N9" s="81">
        <f>ROUND(IF(P9&lt;$J$6,$J$6,P9),5)</f>
        <v>2.5669999999999998E-2</v>
      </c>
      <c r="P9" s="246">
        <f>IF(M9&lt;$F$6,$C$6*$D$6*(2/3+(M9/$F$6)*(2.5/$E$6-2/3)),IF(M9&lt;$G$6,$C$6*$D$6*(2.5/$E$6),IF(M9&lt;$H$6,$C$6*$D$6*(2.5/$E$6)*(($G$6/M9)^$I$6),$C$6*$D$6*(2.5/$E$6)*($G$6*$H$6/M9^2)^$I$6)))</f>
        <v>2.5666666666666671E-2</v>
      </c>
      <c r="Q9" s="207"/>
      <c r="R9" s="31"/>
      <c r="S9" s="31"/>
      <c r="T9" s="31"/>
      <c r="U9" s="31"/>
      <c r="V9" s="31"/>
      <c r="W9" s="31"/>
      <c r="X9" s="31"/>
      <c r="Y9" s="31"/>
      <c r="Z9" s="31"/>
      <c r="AA9" s="208"/>
    </row>
    <row r="10" spans="2:27">
      <c r="B10" s="331"/>
      <c r="C10" s="332"/>
      <c r="D10" s="332"/>
      <c r="E10" s="332"/>
      <c r="F10" s="332"/>
      <c r="G10" s="332"/>
      <c r="H10" s="332"/>
      <c r="I10" s="332"/>
      <c r="J10" s="332"/>
      <c r="K10" s="333"/>
      <c r="M10" s="80">
        <v>0.01</v>
      </c>
      <c r="N10" s="81">
        <f t="shared" ref="N10:N73" si="0">ROUND(IF(P10&lt;$J$6,$J$6,P10),5)</f>
        <v>2.4809999999999999E-2</v>
      </c>
      <c r="P10" s="246">
        <f t="shared" ref="P10:P73" si="1">IF(M10&lt;$F$6,$C$6*$D$6*(2/3+(M10/$F$6)*(2.5/$E$6-2/3)),IF(M10&lt;$G$6,$C$6*$D$6*(2.5/$E$6),IF(M10&lt;$H$6,$C$6*$D$6*(2.5/$E$6)*(($G$6/M10)^$I$6),$C$6*$D$6*(2.5/$E$6)*($G$6*$H$6/M10^2)^$I$6)))</f>
        <v>2.4811111111111114E-2</v>
      </c>
      <c r="Q10" s="207"/>
      <c r="R10" s="31"/>
      <c r="S10" s="31"/>
      <c r="T10" s="31"/>
      <c r="U10" s="31"/>
      <c r="V10" s="31"/>
      <c r="W10" s="31"/>
      <c r="X10" s="31"/>
      <c r="Y10" s="31"/>
      <c r="Z10" s="31"/>
      <c r="AA10" s="208"/>
    </row>
    <row r="11" spans="2:27">
      <c r="B11" s="331"/>
      <c r="C11" s="332"/>
      <c r="D11" s="332"/>
      <c r="E11" s="332"/>
      <c r="F11" s="332"/>
      <c r="G11" s="332"/>
      <c r="H11" s="332"/>
      <c r="I11" s="332"/>
      <c r="J11" s="332"/>
      <c r="K11" s="333"/>
      <c r="M11" s="80">
        <v>0.02</v>
      </c>
      <c r="N11" s="81">
        <f t="shared" si="0"/>
        <v>2.3959999999999999E-2</v>
      </c>
      <c r="P11" s="246">
        <f t="shared" si="1"/>
        <v>2.395555555555556E-2</v>
      </c>
      <c r="Q11" s="207"/>
      <c r="R11" s="31"/>
      <c r="S11" s="31"/>
      <c r="T11" s="31"/>
      <c r="U11" s="31"/>
      <c r="V11" s="31"/>
      <c r="W11" s="31"/>
      <c r="X11" s="31"/>
      <c r="Y11" s="31"/>
      <c r="Z11" s="31"/>
      <c r="AA11" s="208"/>
    </row>
    <row r="12" spans="2:27">
      <c r="B12" s="331"/>
      <c r="C12" s="332"/>
      <c r="D12" s="332"/>
      <c r="E12" s="332"/>
      <c r="F12" s="332"/>
      <c r="G12" s="332"/>
      <c r="H12" s="332"/>
      <c r="I12" s="332"/>
      <c r="J12" s="332"/>
      <c r="K12" s="333"/>
      <c r="M12" s="80">
        <v>0.03</v>
      </c>
      <c r="N12" s="81">
        <f t="shared" si="0"/>
        <v>2.3099999999999999E-2</v>
      </c>
      <c r="P12" s="246">
        <f t="shared" si="1"/>
        <v>2.3100000000000002E-2</v>
      </c>
      <c r="Q12" s="207"/>
      <c r="R12" s="31"/>
      <c r="S12" s="31"/>
      <c r="T12" s="31"/>
      <c r="U12" s="31"/>
      <c r="V12" s="31"/>
      <c r="W12" s="31"/>
      <c r="X12" s="31"/>
      <c r="Y12" s="31"/>
      <c r="Z12" s="31"/>
      <c r="AA12" s="208"/>
    </row>
    <row r="13" spans="2:27">
      <c r="B13" s="331"/>
      <c r="C13" s="332"/>
      <c r="D13" s="332"/>
      <c r="E13" s="332"/>
      <c r="F13" s="332"/>
      <c r="G13" s="332"/>
      <c r="H13" s="332"/>
      <c r="I13" s="332"/>
      <c r="J13" s="332"/>
      <c r="K13" s="333"/>
      <c r="M13" s="80">
        <v>0.04</v>
      </c>
      <c r="N13" s="81">
        <f t="shared" si="0"/>
        <v>2.2239999999999999E-2</v>
      </c>
      <c r="P13" s="246">
        <f t="shared" si="1"/>
        <v>2.2244444444444449E-2</v>
      </c>
      <c r="Q13" s="207"/>
      <c r="R13" s="31"/>
      <c r="S13" s="31"/>
      <c r="T13" s="31"/>
      <c r="U13" s="31"/>
      <c r="V13" s="31"/>
      <c r="W13" s="31"/>
      <c r="X13" s="31"/>
      <c r="Y13" s="31"/>
      <c r="Z13" s="31"/>
      <c r="AA13" s="208"/>
    </row>
    <row r="14" spans="2:27">
      <c r="B14" s="331"/>
      <c r="C14" s="332"/>
      <c r="D14" s="332"/>
      <c r="E14" s="332"/>
      <c r="F14" s="332"/>
      <c r="G14" s="332"/>
      <c r="H14" s="332"/>
      <c r="I14" s="332"/>
      <c r="J14" s="332"/>
      <c r="K14" s="333"/>
      <c r="M14" s="80">
        <v>0.05</v>
      </c>
      <c r="N14" s="81">
        <f t="shared" si="0"/>
        <v>2.1389999999999999E-2</v>
      </c>
      <c r="P14" s="246">
        <f t="shared" si="1"/>
        <v>2.1388888888888895E-2</v>
      </c>
      <c r="Q14" s="207"/>
      <c r="R14" s="31"/>
      <c r="S14" s="31"/>
      <c r="T14" s="31"/>
      <c r="U14" s="31"/>
      <c r="V14" s="31"/>
      <c r="W14" s="31"/>
      <c r="X14" s="31"/>
      <c r="Y14" s="31"/>
      <c r="Z14" s="31"/>
      <c r="AA14" s="208"/>
    </row>
    <row r="15" spans="2:27">
      <c r="B15" s="331"/>
      <c r="C15" s="332"/>
      <c r="D15" s="332"/>
      <c r="E15" s="332"/>
      <c r="F15" s="332"/>
      <c r="G15" s="332"/>
      <c r="H15" s="332"/>
      <c r="I15" s="332"/>
      <c r="J15" s="332"/>
      <c r="K15" s="333"/>
      <c r="M15" s="80">
        <v>0.06</v>
      </c>
      <c r="N15" s="81">
        <f t="shared" si="0"/>
        <v>2.1389999999999999E-2</v>
      </c>
      <c r="P15" s="246">
        <f t="shared" si="1"/>
        <v>2.1388888888888895E-2</v>
      </c>
      <c r="Q15" s="207"/>
      <c r="R15" s="31"/>
      <c r="S15" s="31"/>
      <c r="T15" s="31"/>
      <c r="U15" s="31"/>
      <c r="V15" s="31"/>
      <c r="W15" s="31"/>
      <c r="X15" s="31"/>
      <c r="Y15" s="31"/>
      <c r="Z15" s="31"/>
      <c r="AA15" s="208"/>
    </row>
    <row r="16" spans="2:27">
      <c r="B16" s="331"/>
      <c r="C16" s="332"/>
      <c r="D16" s="332"/>
      <c r="E16" s="332"/>
      <c r="F16" s="332"/>
      <c r="G16" s="332"/>
      <c r="H16" s="332"/>
      <c r="I16" s="332"/>
      <c r="J16" s="332"/>
      <c r="K16" s="333"/>
      <c r="M16" s="80">
        <v>7.0000000000000007E-2</v>
      </c>
      <c r="N16" s="81">
        <f t="shared" si="0"/>
        <v>2.1389999999999999E-2</v>
      </c>
      <c r="P16" s="246">
        <f t="shared" si="1"/>
        <v>2.1388888888888895E-2</v>
      </c>
      <c r="Q16" s="207"/>
      <c r="R16" s="31"/>
      <c r="S16" s="31"/>
      <c r="T16" s="31"/>
      <c r="U16" s="31"/>
      <c r="V16" s="31"/>
      <c r="W16" s="31"/>
      <c r="X16" s="31"/>
      <c r="Y16" s="31"/>
      <c r="Z16" s="31"/>
      <c r="AA16" s="208"/>
    </row>
    <row r="17" spans="2:27">
      <c r="B17" s="331"/>
      <c r="C17" s="332"/>
      <c r="D17" s="332"/>
      <c r="E17" s="332"/>
      <c r="F17" s="332"/>
      <c r="G17" s="332"/>
      <c r="H17" s="332"/>
      <c r="I17" s="332"/>
      <c r="J17" s="332"/>
      <c r="K17" s="333"/>
      <c r="M17" s="80">
        <v>0.08</v>
      </c>
      <c r="N17" s="81">
        <f t="shared" si="0"/>
        <v>2.1389999999999999E-2</v>
      </c>
      <c r="P17" s="246">
        <f t="shared" si="1"/>
        <v>2.1388888888888895E-2</v>
      </c>
      <c r="Q17" s="207"/>
      <c r="R17" s="31"/>
      <c r="S17" s="31"/>
      <c r="T17" s="31"/>
      <c r="U17" s="31"/>
      <c r="V17" s="31"/>
      <c r="W17" s="31"/>
      <c r="X17" s="31"/>
      <c r="Y17" s="31"/>
      <c r="Z17" s="31"/>
      <c r="AA17" s="208"/>
    </row>
    <row r="18" spans="2:27">
      <c r="B18" s="331"/>
      <c r="C18" s="332"/>
      <c r="D18" s="332"/>
      <c r="E18" s="332"/>
      <c r="F18" s="332"/>
      <c r="G18" s="332"/>
      <c r="H18" s="332"/>
      <c r="I18" s="332"/>
      <c r="J18" s="332"/>
      <c r="K18" s="333"/>
      <c r="M18" s="80">
        <v>0.09</v>
      </c>
      <c r="N18" s="81">
        <f t="shared" si="0"/>
        <v>2.1389999999999999E-2</v>
      </c>
      <c r="P18" s="246">
        <f t="shared" si="1"/>
        <v>2.1388888888888895E-2</v>
      </c>
      <c r="Q18" s="207"/>
      <c r="R18" s="31"/>
      <c r="S18" s="31"/>
      <c r="T18" s="31"/>
      <c r="U18" s="31"/>
      <c r="V18" s="31"/>
      <c r="W18" s="31"/>
      <c r="X18" s="31"/>
      <c r="Y18" s="31"/>
      <c r="Z18" s="31"/>
      <c r="AA18" s="208"/>
    </row>
    <row r="19" spans="2:27">
      <c r="B19" s="331"/>
      <c r="C19" s="332"/>
      <c r="D19" s="332"/>
      <c r="E19" s="332"/>
      <c r="F19" s="332"/>
      <c r="G19" s="332"/>
      <c r="H19" s="332"/>
      <c r="I19" s="332"/>
      <c r="J19" s="332"/>
      <c r="K19" s="333"/>
      <c r="M19" s="80">
        <v>0.1</v>
      </c>
      <c r="N19" s="81">
        <f t="shared" si="0"/>
        <v>2.1389999999999999E-2</v>
      </c>
      <c r="P19" s="246">
        <f t="shared" si="1"/>
        <v>2.1388888888888895E-2</v>
      </c>
      <c r="Q19" s="207"/>
      <c r="R19" s="31"/>
      <c r="S19" s="31"/>
      <c r="T19" s="31"/>
      <c r="U19" s="31"/>
      <c r="V19" s="31"/>
      <c r="W19" s="31"/>
      <c r="X19" s="31"/>
      <c r="Y19" s="31"/>
      <c r="Z19" s="31"/>
      <c r="AA19" s="208"/>
    </row>
    <row r="20" spans="2:27">
      <c r="B20" s="331"/>
      <c r="C20" s="332"/>
      <c r="D20" s="332"/>
      <c r="E20" s="332"/>
      <c r="F20" s="332"/>
      <c r="G20" s="332"/>
      <c r="H20" s="332"/>
      <c r="I20" s="332"/>
      <c r="J20" s="332"/>
      <c r="K20" s="333"/>
      <c r="M20" s="80">
        <v>0.11</v>
      </c>
      <c r="N20" s="81">
        <f t="shared" si="0"/>
        <v>2.1389999999999999E-2</v>
      </c>
      <c r="P20" s="246">
        <f t="shared" si="1"/>
        <v>2.1388888888888895E-2</v>
      </c>
      <c r="Q20" s="207"/>
      <c r="R20" s="31"/>
      <c r="S20" s="31"/>
      <c r="T20" s="31"/>
      <c r="U20" s="31"/>
      <c r="V20" s="31"/>
      <c r="W20" s="31"/>
      <c r="X20" s="31"/>
      <c r="Y20" s="31"/>
      <c r="Z20" s="31"/>
      <c r="AA20" s="208"/>
    </row>
    <row r="21" spans="2:27">
      <c r="B21" s="331"/>
      <c r="C21" s="332"/>
      <c r="D21" s="332"/>
      <c r="E21" s="332"/>
      <c r="F21" s="332"/>
      <c r="G21" s="332"/>
      <c r="H21" s="332"/>
      <c r="I21" s="332"/>
      <c r="J21" s="332"/>
      <c r="K21" s="333"/>
      <c r="M21" s="80">
        <v>0.12</v>
      </c>
      <c r="N21" s="81">
        <f t="shared" si="0"/>
        <v>2.1389999999999999E-2</v>
      </c>
      <c r="P21" s="246">
        <f t="shared" si="1"/>
        <v>2.1388888888888895E-2</v>
      </c>
      <c r="Q21" s="207"/>
      <c r="R21" s="31"/>
      <c r="S21" s="31"/>
      <c r="T21" s="31"/>
      <c r="U21" s="31"/>
      <c r="V21" s="31"/>
      <c r="W21" s="31"/>
      <c r="X21" s="31"/>
      <c r="Y21" s="31"/>
      <c r="Z21" s="31"/>
      <c r="AA21" s="208"/>
    </row>
    <row r="22" spans="2:27" ht="16.5">
      <c r="B22" s="331"/>
      <c r="C22" s="332"/>
      <c r="D22" s="332"/>
      <c r="E22" s="332"/>
      <c r="F22" s="332"/>
      <c r="G22" s="332"/>
      <c r="H22" s="332"/>
      <c r="I22" s="332"/>
      <c r="J22" s="332"/>
      <c r="K22" s="333"/>
      <c r="M22" s="80">
        <v>0.13</v>
      </c>
      <c r="N22" s="81">
        <f t="shared" si="0"/>
        <v>2.1389999999999999E-2</v>
      </c>
      <c r="P22" s="246">
        <f t="shared" si="1"/>
        <v>2.1388888888888895E-2</v>
      </c>
      <c r="Q22" s="242"/>
      <c r="R22" s="92"/>
      <c r="S22" s="92"/>
      <c r="T22" s="92"/>
      <c r="U22" s="92"/>
      <c r="V22" s="92"/>
      <c r="W22" s="92"/>
      <c r="X22" s="92"/>
      <c r="Y22" s="92"/>
      <c r="Z22" s="92"/>
      <c r="AA22" s="243"/>
    </row>
    <row r="23" spans="2:27" ht="16.5">
      <c r="B23" s="331"/>
      <c r="C23" s="332"/>
      <c r="D23" s="332"/>
      <c r="E23" s="332"/>
      <c r="F23" s="332"/>
      <c r="G23" s="332"/>
      <c r="H23" s="332"/>
      <c r="I23" s="332"/>
      <c r="J23" s="332"/>
      <c r="K23" s="333"/>
      <c r="M23" s="80">
        <v>0.14000000000000001</v>
      </c>
      <c r="N23" s="81">
        <f t="shared" si="0"/>
        <v>2.1389999999999999E-2</v>
      </c>
      <c r="P23" s="246">
        <f t="shared" si="1"/>
        <v>2.1388888888888895E-2</v>
      </c>
      <c r="Q23" s="242"/>
      <c r="R23" s="92"/>
      <c r="S23" s="92"/>
      <c r="T23" s="92"/>
      <c r="U23" s="92"/>
      <c r="V23" s="92"/>
      <c r="W23" s="92"/>
      <c r="X23" s="92"/>
      <c r="Y23" s="92"/>
      <c r="Z23" s="92"/>
      <c r="AA23" s="243"/>
    </row>
    <row r="24" spans="2:27" ht="16.5">
      <c r="B24" s="331"/>
      <c r="C24" s="332"/>
      <c r="D24" s="332"/>
      <c r="E24" s="332"/>
      <c r="F24" s="332"/>
      <c r="G24" s="332"/>
      <c r="H24" s="332"/>
      <c r="I24" s="332"/>
      <c r="J24" s="332"/>
      <c r="K24" s="333"/>
      <c r="M24" s="80">
        <v>0.15</v>
      </c>
      <c r="N24" s="81">
        <f t="shared" si="0"/>
        <v>2.1389999999999999E-2</v>
      </c>
      <c r="P24" s="36">
        <f t="shared" si="1"/>
        <v>2.1388888888888895E-2</v>
      </c>
      <c r="Q24" s="242"/>
      <c r="R24" s="92"/>
      <c r="S24" s="92"/>
      <c r="T24" s="92"/>
      <c r="U24" s="92"/>
      <c r="V24" s="92"/>
      <c r="W24" s="92"/>
      <c r="X24" s="92"/>
      <c r="Y24" s="92"/>
      <c r="Z24" s="92"/>
      <c r="AA24" s="243"/>
    </row>
    <row r="25" spans="2:27" ht="16.5">
      <c r="B25" s="331"/>
      <c r="C25" s="332"/>
      <c r="D25" s="332"/>
      <c r="E25" s="332"/>
      <c r="F25" s="332"/>
      <c r="G25" s="332"/>
      <c r="H25" s="332"/>
      <c r="I25" s="332"/>
      <c r="J25" s="332"/>
      <c r="K25" s="333"/>
      <c r="M25" s="80">
        <v>0.16</v>
      </c>
      <c r="N25" s="81">
        <f t="shared" si="0"/>
        <v>2.0310000000000002E-2</v>
      </c>
      <c r="P25" s="36">
        <f t="shared" si="1"/>
        <v>2.0312587331579746E-2</v>
      </c>
      <c r="Q25" s="242"/>
      <c r="R25" s="92"/>
      <c r="S25" s="92"/>
      <c r="T25" s="92"/>
      <c r="U25" s="92"/>
      <c r="V25" s="92"/>
      <c r="W25" s="92"/>
      <c r="X25" s="92"/>
      <c r="Y25" s="92"/>
      <c r="Z25" s="92"/>
      <c r="AA25" s="243"/>
    </row>
    <row r="26" spans="2:27" ht="16.5">
      <c r="B26" s="331"/>
      <c r="C26" s="332"/>
      <c r="D26" s="332"/>
      <c r="E26" s="332"/>
      <c r="F26" s="332"/>
      <c r="G26" s="332"/>
      <c r="H26" s="332"/>
      <c r="I26" s="332"/>
      <c r="J26" s="332"/>
      <c r="K26" s="333"/>
      <c r="M26" s="80">
        <v>0.17</v>
      </c>
      <c r="N26" s="81">
        <f t="shared" si="0"/>
        <v>1.9349999999999999E-2</v>
      </c>
      <c r="P26" s="36">
        <f t="shared" si="1"/>
        <v>1.9350941256285645E-2</v>
      </c>
      <c r="Q26" s="242"/>
      <c r="R26" s="92"/>
      <c r="S26" s="92"/>
      <c r="T26" s="92"/>
      <c r="U26" s="92"/>
      <c r="V26" s="92"/>
      <c r="W26" s="92"/>
      <c r="X26" s="92"/>
      <c r="Y26" s="92"/>
      <c r="Z26" s="92"/>
      <c r="AA26" s="243"/>
    </row>
    <row r="27" spans="2:27" ht="16.5">
      <c r="B27" s="331"/>
      <c r="C27" s="332"/>
      <c r="D27" s="332"/>
      <c r="E27" s="332"/>
      <c r="F27" s="332"/>
      <c r="G27" s="332"/>
      <c r="H27" s="332"/>
      <c r="I27" s="332"/>
      <c r="J27" s="332"/>
      <c r="K27" s="333"/>
      <c r="M27" s="80">
        <v>0.18</v>
      </c>
      <c r="N27" s="81">
        <f t="shared" si="0"/>
        <v>1.8489999999999999E-2</v>
      </c>
      <c r="P27" s="36">
        <f t="shared" si="1"/>
        <v>1.8486011870120816E-2</v>
      </c>
      <c r="Q27" s="242"/>
      <c r="R27" s="92"/>
      <c r="S27" s="92"/>
      <c r="T27" s="92"/>
      <c r="U27" s="92"/>
      <c r="V27" s="92"/>
      <c r="W27" s="92"/>
      <c r="X27" s="92"/>
      <c r="Y27" s="92"/>
      <c r="Z27" s="92"/>
      <c r="AA27" s="243"/>
    </row>
    <row r="28" spans="2:27" ht="17.25" thickBot="1">
      <c r="B28" s="334"/>
      <c r="C28" s="335"/>
      <c r="D28" s="335"/>
      <c r="E28" s="335"/>
      <c r="F28" s="335"/>
      <c r="G28" s="335"/>
      <c r="H28" s="335"/>
      <c r="I28" s="335"/>
      <c r="J28" s="335"/>
      <c r="K28" s="336"/>
      <c r="M28" s="80">
        <v>0.19</v>
      </c>
      <c r="N28" s="81">
        <f t="shared" si="0"/>
        <v>1.77E-2</v>
      </c>
      <c r="P28" s="36">
        <f t="shared" si="1"/>
        <v>1.7703468023886747E-2</v>
      </c>
      <c r="Q28" s="242"/>
      <c r="R28" s="92"/>
      <c r="S28" s="92"/>
      <c r="T28" s="92"/>
      <c r="U28" s="92"/>
      <c r="V28" s="92"/>
      <c r="W28" s="92"/>
      <c r="X28" s="92"/>
      <c r="Y28" s="92"/>
      <c r="Z28" s="92"/>
      <c r="AA28" s="243"/>
    </row>
    <row r="29" spans="2:27" ht="16.5">
      <c r="M29" s="80">
        <v>0.2</v>
      </c>
      <c r="N29" s="81">
        <f t="shared" si="0"/>
        <v>1.6990000000000002E-2</v>
      </c>
      <c r="P29" s="36">
        <f t="shared" si="1"/>
        <v>1.6991715783491367E-2</v>
      </c>
      <c r="Q29" s="242"/>
      <c r="R29" s="92"/>
      <c r="S29" s="92"/>
      <c r="T29" s="92"/>
      <c r="U29" s="92"/>
      <c r="V29" s="92"/>
      <c r="W29" s="92"/>
      <c r="X29" s="92"/>
      <c r="Y29" s="92"/>
      <c r="Z29" s="92"/>
      <c r="AA29" s="243"/>
    </row>
    <row r="30" spans="2:27" ht="16.5">
      <c r="M30" s="80">
        <v>0.21</v>
      </c>
      <c r="N30" s="81">
        <f t="shared" si="0"/>
        <v>1.634E-2</v>
      </c>
      <c r="P30" s="36">
        <f t="shared" si="1"/>
        <v>1.6341269629133001E-2</v>
      </c>
      <c r="Q30" s="242"/>
      <c r="R30" s="92"/>
      <c r="S30" s="92"/>
      <c r="T30" s="92"/>
      <c r="U30" s="92"/>
      <c r="V30" s="92"/>
      <c r="W30" s="92"/>
      <c r="X30" s="92"/>
      <c r="Y30" s="92"/>
      <c r="Z30" s="92"/>
      <c r="AA30" s="243"/>
    </row>
    <row r="31" spans="2:27" ht="16.5">
      <c r="M31" s="80">
        <v>0.22</v>
      </c>
      <c r="N31" s="81">
        <f t="shared" si="0"/>
        <v>1.5740000000000001E-2</v>
      </c>
      <c r="P31" s="36">
        <f t="shared" si="1"/>
        <v>1.5744290231929629E-2</v>
      </c>
      <c r="Q31" s="242"/>
      <c r="R31" s="92"/>
      <c r="S31" s="92"/>
      <c r="T31" s="92"/>
      <c r="U31" s="92"/>
      <c r="V31" s="92"/>
      <c r="W31" s="92"/>
      <c r="X31" s="92"/>
      <c r="Y31" s="92"/>
      <c r="Z31" s="92"/>
      <c r="AA31" s="243"/>
    </row>
    <row r="32" spans="2:27" ht="16.5">
      <c r="M32" s="80">
        <v>0.23</v>
      </c>
      <c r="N32" s="81">
        <f t="shared" si="0"/>
        <v>1.519E-2</v>
      </c>
      <c r="P32" s="36">
        <f t="shared" si="1"/>
        <v>1.5194239329401572E-2</v>
      </c>
      <c r="Q32" s="242"/>
      <c r="R32" s="92"/>
      <c r="S32" s="92"/>
      <c r="T32" s="92"/>
      <c r="U32" s="92"/>
      <c r="V32" s="92"/>
      <c r="W32" s="92"/>
      <c r="X32" s="92"/>
      <c r="Y32" s="92"/>
      <c r="Z32" s="92"/>
      <c r="AA32" s="243"/>
    </row>
    <row r="33" spans="13:27" ht="16.5">
      <c r="M33" s="80">
        <v>0.24</v>
      </c>
      <c r="N33" s="81">
        <f t="shared" si="0"/>
        <v>1.469E-2</v>
      </c>
      <c r="P33" s="36">
        <f t="shared" si="1"/>
        <v>1.468561837405748E-2</v>
      </c>
      <c r="Q33" s="242"/>
      <c r="R33" s="92"/>
      <c r="S33" s="92"/>
      <c r="T33" s="92"/>
      <c r="U33" s="92"/>
      <c r="V33" s="92"/>
      <c r="W33" s="92"/>
      <c r="X33" s="92"/>
      <c r="Y33" s="92"/>
      <c r="Z33" s="92"/>
      <c r="AA33" s="243"/>
    </row>
    <row r="34" spans="13:27" ht="16.5">
      <c r="M34" s="80">
        <v>0.25</v>
      </c>
      <c r="N34" s="81">
        <f t="shared" si="0"/>
        <v>1.421E-2</v>
      </c>
      <c r="P34" s="36">
        <f t="shared" si="1"/>
        <v>1.4213768071686389E-2</v>
      </c>
      <c r="Q34" s="242"/>
      <c r="R34" s="92"/>
      <c r="S34" s="92"/>
      <c r="T34" s="92"/>
      <c r="U34" s="92"/>
      <c r="V34" s="92"/>
      <c r="W34" s="92"/>
      <c r="X34" s="92"/>
      <c r="Y34" s="92"/>
      <c r="Z34" s="92"/>
      <c r="AA34" s="243"/>
    </row>
    <row r="35" spans="13:27" ht="16.5">
      <c r="M35" s="80">
        <v>0.26</v>
      </c>
      <c r="N35" s="81">
        <f t="shared" si="0"/>
        <v>1.3769999999999999E-2</v>
      </c>
      <c r="P35" s="36">
        <f t="shared" si="1"/>
        <v>1.3774712819275869E-2</v>
      </c>
      <c r="Q35" s="242"/>
      <c r="R35" s="92"/>
      <c r="S35" s="92"/>
      <c r="T35" s="92"/>
      <c r="U35" s="92"/>
      <c r="V35" s="92"/>
      <c r="W35" s="92"/>
      <c r="X35" s="92"/>
      <c r="Y35" s="92"/>
      <c r="Z35" s="92"/>
      <c r="AA35" s="243"/>
    </row>
    <row r="36" spans="13:27" ht="16.5">
      <c r="M36" s="80">
        <v>0.27</v>
      </c>
      <c r="N36" s="81">
        <f t="shared" si="0"/>
        <v>1.337E-2</v>
      </c>
      <c r="P36" s="36">
        <f t="shared" si="1"/>
        <v>1.3365038690114399E-2</v>
      </c>
      <c r="Q36" s="242"/>
      <c r="R36" s="92"/>
      <c r="S36" s="92"/>
      <c r="T36" s="92"/>
      <c r="U36" s="92"/>
      <c r="V36" s="92"/>
      <c r="W36" s="92"/>
      <c r="X36" s="92"/>
      <c r="Y36" s="92"/>
      <c r="Z36" s="92"/>
      <c r="AA36" s="243"/>
    </row>
    <row r="37" spans="13:27" ht="16.5">
      <c r="M37" s="80">
        <v>0.28000000000000003</v>
      </c>
      <c r="N37" s="81">
        <f t="shared" si="0"/>
        <v>1.298E-2</v>
      </c>
      <c r="P37" s="36">
        <f t="shared" si="1"/>
        <v>1.2981796788138418E-2</v>
      </c>
      <c r="Q37" s="242"/>
      <c r="R37" s="92"/>
      <c r="S37" s="92"/>
      <c r="T37" s="92"/>
      <c r="U37" s="92"/>
      <c r="V37" s="92"/>
      <c r="W37" s="92"/>
      <c r="X37" s="92"/>
      <c r="Y37" s="92"/>
      <c r="Z37" s="92"/>
      <c r="AA37" s="243"/>
    </row>
    <row r="38" spans="13:27" ht="16.5">
      <c r="M38" s="80">
        <v>0.28999999999999998</v>
      </c>
      <c r="N38" s="81">
        <f t="shared" si="0"/>
        <v>1.2619999999999999E-2</v>
      </c>
      <c r="P38" s="36">
        <f t="shared" si="1"/>
        <v>1.2622426001230671E-2</v>
      </c>
      <c r="Q38" s="242"/>
      <c r="R38" s="92"/>
      <c r="S38" s="92"/>
      <c r="T38" s="92"/>
      <c r="U38" s="92"/>
      <c r="V38" s="92"/>
      <c r="W38" s="92"/>
      <c r="X38" s="92"/>
      <c r="Y38" s="92"/>
      <c r="Z38" s="92"/>
      <c r="AA38" s="243"/>
    </row>
    <row r="39" spans="13:27" ht="16.5">
      <c r="M39" s="80">
        <v>0.3</v>
      </c>
      <c r="N39" s="81">
        <f t="shared" si="0"/>
        <v>1.2279999999999999E-2</v>
      </c>
      <c r="P39" s="36">
        <f t="shared" si="1"/>
        <v>1.2284690740940518E-2</v>
      </c>
      <c r="Q39" s="242"/>
      <c r="R39" s="92"/>
      <c r="S39" s="92"/>
      <c r="T39" s="92"/>
      <c r="U39" s="92"/>
      <c r="V39" s="92"/>
      <c r="W39" s="92"/>
      <c r="X39" s="92"/>
      <c r="Y39" s="92"/>
      <c r="Z39" s="92"/>
      <c r="AA39" s="243"/>
    </row>
    <row r="40" spans="13:27" ht="16.5">
      <c r="M40" s="80">
        <v>0.31</v>
      </c>
      <c r="N40" s="81">
        <f t="shared" si="0"/>
        <v>1.197E-2</v>
      </c>
      <c r="P40" s="36">
        <f t="shared" si="1"/>
        <v>1.1966630370136174E-2</v>
      </c>
      <c r="Q40" s="242"/>
      <c r="R40" s="92"/>
      <c r="S40" s="92"/>
      <c r="T40" s="92"/>
      <c r="U40" s="92"/>
      <c r="V40" s="92"/>
      <c r="W40" s="92"/>
      <c r="X40" s="92"/>
      <c r="Y40" s="92"/>
      <c r="Z40" s="92"/>
      <c r="AA40" s="243"/>
    </row>
    <row r="41" spans="13:27" ht="17.25" thickBot="1">
      <c r="M41" s="80">
        <v>0.32</v>
      </c>
      <c r="N41" s="81">
        <f t="shared" si="0"/>
        <v>1.167E-2</v>
      </c>
      <c r="P41" s="36">
        <f t="shared" si="1"/>
        <v>1.1666517826759634E-2</v>
      </c>
      <c r="Q41" s="231"/>
      <c r="R41" s="232"/>
      <c r="S41" s="232"/>
      <c r="T41" s="232"/>
      <c r="U41" s="232"/>
      <c r="V41" s="232"/>
      <c r="W41" s="232"/>
      <c r="X41" s="232"/>
      <c r="Y41" s="232"/>
      <c r="Z41" s="232"/>
      <c r="AA41" s="233"/>
    </row>
    <row r="42" spans="13:27">
      <c r="M42" s="80">
        <v>0.33</v>
      </c>
      <c r="N42" s="81">
        <f t="shared" si="0"/>
        <v>1.1379999999999999E-2</v>
      </c>
      <c r="P42" s="36">
        <f t="shared" si="1"/>
        <v>1.1382825542714234E-2</v>
      </c>
    </row>
    <row r="43" spans="13:27">
      <c r="M43" s="80">
        <v>0.34</v>
      </c>
      <c r="N43" s="81">
        <f t="shared" si="0"/>
        <v>1.111E-2</v>
      </c>
      <c r="P43" s="36">
        <f t="shared" si="1"/>
        <v>1.1114197194369789E-2</v>
      </c>
    </row>
    <row r="44" spans="13:27">
      <c r="M44" s="80">
        <v>0.35</v>
      </c>
      <c r="N44" s="81">
        <f t="shared" si="0"/>
        <v>1.086E-2</v>
      </c>
      <c r="P44" s="36">
        <f t="shared" si="1"/>
        <v>1.0859424148303907E-2</v>
      </c>
    </row>
    <row r="45" spans="13:27">
      <c r="M45" s="80">
        <v>0.36</v>
      </c>
      <c r="N45" s="81">
        <f t="shared" si="0"/>
        <v>1.0619999999999999E-2</v>
      </c>
      <c r="P45" s="36">
        <f t="shared" si="1"/>
        <v>1.0617425712831722E-2</v>
      </c>
    </row>
    <row r="46" spans="13:27">
      <c r="M46" s="80">
        <v>0.37</v>
      </c>
      <c r="N46" s="81">
        <f t="shared" si="0"/>
        <v>1.039E-2</v>
      </c>
      <c r="P46" s="36">
        <f t="shared" si="1"/>
        <v>1.0387232493912347E-2</v>
      </c>
    </row>
    <row r="47" spans="13:27">
      <c r="M47" s="80">
        <v>0.38</v>
      </c>
      <c r="N47" s="81">
        <f t="shared" si="0"/>
        <v>1.017E-2</v>
      </c>
      <c r="P47" s="36">
        <f t="shared" si="1"/>
        <v>1.0167972298390658E-2</v>
      </c>
    </row>
    <row r="48" spans="13:27">
      <c r="M48" s="80">
        <v>0.39</v>
      </c>
      <c r="N48" s="81">
        <f t="shared" si="0"/>
        <v>9.9600000000000001E-3</v>
      </c>
      <c r="P48" s="36">
        <f t="shared" si="1"/>
        <v>9.9588581392398307E-3</v>
      </c>
    </row>
    <row r="49" spans="13:16">
      <c r="M49" s="80">
        <v>0.4</v>
      </c>
      <c r="N49" s="81">
        <f t="shared" si="0"/>
        <v>9.7599999999999996E-3</v>
      </c>
      <c r="P49" s="36">
        <f t="shared" si="1"/>
        <v>9.7591779845368435E-3</v>
      </c>
    </row>
    <row r="50" spans="13:16">
      <c r="M50" s="80">
        <v>0.41</v>
      </c>
      <c r="N50" s="81">
        <f t="shared" si="0"/>
        <v>9.5700000000000004E-3</v>
      </c>
      <c r="P50" s="36">
        <f t="shared" si="1"/>
        <v>9.5682859602347209E-3</v>
      </c>
    </row>
    <row r="51" spans="13:16">
      <c r="M51" s="80">
        <v>0.42</v>
      </c>
      <c r="N51" s="81">
        <f t="shared" si="0"/>
        <v>9.3900000000000008E-3</v>
      </c>
      <c r="P51" s="36">
        <f t="shared" si="1"/>
        <v>9.3855947707740441E-3</v>
      </c>
    </row>
    <row r="52" spans="13:16">
      <c r="M52" s="80">
        <v>0.43</v>
      </c>
      <c r="N52" s="81">
        <f t="shared" si="0"/>
        <v>9.2099999999999994E-3</v>
      </c>
      <c r="P52" s="36">
        <f t="shared" si="1"/>
        <v>9.2105691444814841E-3</v>
      </c>
    </row>
    <row r="53" spans="13:16">
      <c r="M53" s="80">
        <v>0.44</v>
      </c>
      <c r="N53" s="81">
        <f t="shared" si="0"/>
        <v>9.0399999999999994E-3</v>
      </c>
      <c r="P53" s="36">
        <f t="shared" si="1"/>
        <v>9.042720145006726E-3</v>
      </c>
    </row>
    <row r="54" spans="13:16">
      <c r="M54" s="80">
        <v>0.45</v>
      </c>
      <c r="N54" s="81">
        <f t="shared" si="0"/>
        <v>8.8800000000000007E-3</v>
      </c>
      <c r="P54" s="36">
        <f t="shared" si="1"/>
        <v>8.8816002176291525E-3</v>
      </c>
    </row>
    <row r="55" spans="13:16">
      <c r="M55" s="80">
        <v>0.46</v>
      </c>
      <c r="N55" s="81">
        <f t="shared" si="0"/>
        <v>8.7299999999999999E-3</v>
      </c>
      <c r="P55" s="36">
        <f t="shared" si="1"/>
        <v>8.72679886155742E-3</v>
      </c>
    </row>
    <row r="56" spans="13:16">
      <c r="M56" s="80">
        <v>0.47</v>
      </c>
      <c r="N56" s="81">
        <f t="shared" si="0"/>
        <v>8.5800000000000008E-3</v>
      </c>
      <c r="P56" s="36">
        <f t="shared" si="1"/>
        <v>8.577938837453827E-3</v>
      </c>
    </row>
    <row r="57" spans="13:16">
      <c r="M57" s="80">
        <v>0.48</v>
      </c>
      <c r="N57" s="81">
        <f t="shared" si="0"/>
        <v>8.43E-3</v>
      </c>
      <c r="P57" s="36">
        <f t="shared" si="1"/>
        <v>8.4346728341970299E-3</v>
      </c>
    </row>
    <row r="58" spans="13:16">
      <c r="M58" s="80">
        <v>0.49</v>
      </c>
      <c r="N58" s="81">
        <f t="shared" si="0"/>
        <v>8.3000000000000001E-3</v>
      </c>
      <c r="P58" s="36">
        <f t="shared" si="1"/>
        <v>8.2966805310180185E-3</v>
      </c>
    </row>
    <row r="59" spans="13:16">
      <c r="M59" s="80">
        <v>0.5</v>
      </c>
      <c r="N59" s="81">
        <f t="shared" si="0"/>
        <v>8.1600000000000006E-3</v>
      </c>
      <c r="P59" s="36">
        <f t="shared" si="1"/>
        <v>8.1636660011277663E-3</v>
      </c>
    </row>
    <row r="60" spans="13:16">
      <c r="M60" s="80">
        <v>0.51</v>
      </c>
      <c r="N60" s="81">
        <f t="shared" si="0"/>
        <v>8.0400000000000003E-3</v>
      </c>
      <c r="P60" s="36">
        <f t="shared" si="1"/>
        <v>8.0353554112124661E-3</v>
      </c>
    </row>
    <row r="61" spans="13:16">
      <c r="M61" s="80">
        <v>0.52</v>
      </c>
      <c r="N61" s="81">
        <f t="shared" si="0"/>
        <v>7.9100000000000004E-3</v>
      </c>
      <c r="P61" s="36">
        <f t="shared" si="1"/>
        <v>7.9114949780293795E-3</v>
      </c>
    </row>
    <row r="62" spans="13:16">
      <c r="M62" s="80">
        <v>0.53</v>
      </c>
      <c r="N62" s="81">
        <f t="shared" si="0"/>
        <v>7.79E-3</v>
      </c>
      <c r="P62" s="36">
        <f t="shared" si="1"/>
        <v>7.7918491490528629E-3</v>
      </c>
    </row>
    <row r="63" spans="13:16">
      <c r="M63" s="80">
        <v>0.54</v>
      </c>
      <c r="N63" s="81">
        <f t="shared" si="0"/>
        <v>7.7000000000000002E-3</v>
      </c>
      <c r="P63" s="36">
        <f t="shared" si="1"/>
        <v>7.6761989789030701E-3</v>
      </c>
    </row>
    <row r="64" spans="13:16">
      <c r="M64" s="80">
        <v>0.55000000000000004</v>
      </c>
      <c r="N64" s="81">
        <f t="shared" si="0"/>
        <v>7.7000000000000002E-3</v>
      </c>
      <c r="P64" s="36">
        <f t="shared" si="1"/>
        <v>7.5643406773063422E-3</v>
      </c>
    </row>
    <row r="65" spans="13:16">
      <c r="M65" s="80">
        <v>0.56000000000000005</v>
      </c>
      <c r="N65" s="81">
        <f t="shared" si="0"/>
        <v>7.7000000000000002E-3</v>
      </c>
      <c r="P65" s="36">
        <f t="shared" si="1"/>
        <v>7.4560843077201974E-3</v>
      </c>
    </row>
    <row r="66" spans="13:16">
      <c r="M66" s="80">
        <v>0.56999999999999995</v>
      </c>
      <c r="N66" s="81">
        <f t="shared" si="0"/>
        <v>7.7000000000000002E-3</v>
      </c>
      <c r="P66" s="36">
        <f t="shared" si="1"/>
        <v>7.3512526186165677E-3</v>
      </c>
    </row>
    <row r="67" spans="13:16">
      <c r="M67" s="80">
        <v>0.57999999999999996</v>
      </c>
      <c r="N67" s="81">
        <f t="shared" si="0"/>
        <v>7.7000000000000002E-3</v>
      </c>
      <c r="P67" s="36">
        <f t="shared" si="1"/>
        <v>7.2496799918427375E-3</v>
      </c>
    </row>
    <row r="68" spans="13:16">
      <c r="M68" s="80">
        <v>0.59</v>
      </c>
      <c r="N68" s="81">
        <f t="shared" si="0"/>
        <v>7.7000000000000002E-3</v>
      </c>
      <c r="P68" s="36">
        <f t="shared" si="1"/>
        <v>7.1512114945428071E-3</v>
      </c>
    </row>
    <row r="69" spans="13:16">
      <c r="M69" s="80">
        <v>0.6</v>
      </c>
      <c r="N69" s="81">
        <f t="shared" si="0"/>
        <v>7.7000000000000002E-3</v>
      </c>
      <c r="P69" s="36">
        <f t="shared" si="1"/>
        <v>7.0557020228828402E-3</v>
      </c>
    </row>
    <row r="70" spans="13:16">
      <c r="M70" s="80">
        <v>0.61</v>
      </c>
      <c r="N70" s="81">
        <f t="shared" si="0"/>
        <v>7.7000000000000002E-3</v>
      </c>
      <c r="P70" s="36">
        <f t="shared" si="1"/>
        <v>6.9630155273285666E-3</v>
      </c>
    </row>
    <row r="71" spans="13:16">
      <c r="M71" s="80">
        <v>0.62</v>
      </c>
      <c r="N71" s="81">
        <f t="shared" si="0"/>
        <v>7.7000000000000002E-3</v>
      </c>
      <c r="P71" s="36">
        <f t="shared" si="1"/>
        <v>6.8730243105164911E-3</v>
      </c>
    </row>
    <row r="72" spans="13:16">
      <c r="M72" s="80">
        <v>0.63</v>
      </c>
      <c r="N72" s="81">
        <f t="shared" si="0"/>
        <v>7.7000000000000002E-3</v>
      </c>
      <c r="P72" s="36">
        <f t="shared" si="1"/>
        <v>6.7856083898701234E-3</v>
      </c>
    </row>
    <row r="73" spans="13:16">
      <c r="M73" s="80">
        <v>0.64</v>
      </c>
      <c r="N73" s="81">
        <f t="shared" si="0"/>
        <v>7.7000000000000002E-3</v>
      </c>
      <c r="P73" s="36">
        <f t="shared" si="1"/>
        <v>6.7006549180711862E-3</v>
      </c>
    </row>
    <row r="74" spans="13:16">
      <c r="M74" s="80">
        <v>0.65</v>
      </c>
      <c r="N74" s="81">
        <f t="shared" ref="N74:N137" si="2">ROUND(IF(P74&lt;$J$6,$J$6,P74),5)</f>
        <v>7.7000000000000002E-3</v>
      </c>
      <c r="P74" s="36">
        <f t="shared" ref="P74:P137" si="3">IF(M74&lt;$F$6,$C$6*$D$6*(2/3+(M74/$F$6)*(2.5/$E$6-2/3)),IF(M74&lt;$G$6,$C$6*$D$6*(2.5/$E$6),IF(M74&lt;$H$6,$C$6*$D$6*(2.5/$E$6)*(($G$6/M74)^$I$6),$C$6*$D$6*(2.5/$E$6)*($G$6*$H$6/M74^2)^$I$6)))</f>
        <v>6.6180576553237971E-3</v>
      </c>
    </row>
    <row r="75" spans="13:16">
      <c r="M75" s="80">
        <v>0.66</v>
      </c>
      <c r="N75" s="81">
        <f t="shared" si="2"/>
        <v>7.7000000000000002E-3</v>
      </c>
      <c r="P75" s="36">
        <f t="shared" si="3"/>
        <v>6.5377164880670354E-3</v>
      </c>
    </row>
    <row r="76" spans="13:16">
      <c r="M76" s="80">
        <v>0.67</v>
      </c>
      <c r="N76" s="81">
        <f t="shared" si="2"/>
        <v>7.7000000000000002E-3</v>
      </c>
      <c r="P76" s="36">
        <f t="shared" si="3"/>
        <v>6.4595369894146137E-3</v>
      </c>
    </row>
    <row r="77" spans="13:16">
      <c r="M77" s="80">
        <v>0.68</v>
      </c>
      <c r="N77" s="81">
        <f t="shared" si="2"/>
        <v>7.7000000000000002E-3</v>
      </c>
      <c r="P77" s="36">
        <f t="shared" si="3"/>
        <v>6.3834300171426179E-3</v>
      </c>
    </row>
    <row r="78" spans="13:16">
      <c r="M78" s="80">
        <v>0.69</v>
      </c>
      <c r="N78" s="81">
        <f t="shared" si="2"/>
        <v>7.7000000000000002E-3</v>
      </c>
      <c r="P78" s="36">
        <f t="shared" si="3"/>
        <v>6.3093113455194912E-3</v>
      </c>
    </row>
    <row r="79" spans="13:16">
      <c r="M79" s="80">
        <v>0.7</v>
      </c>
      <c r="N79" s="81">
        <f t="shared" si="2"/>
        <v>7.7000000000000002E-3</v>
      </c>
      <c r="P79" s="36">
        <f t="shared" si="3"/>
        <v>6.2371013276858863E-3</v>
      </c>
    </row>
    <row r="80" spans="13:16">
      <c r="M80" s="80">
        <v>0.71</v>
      </c>
      <c r="N80" s="81">
        <f t="shared" si="2"/>
        <v>7.7000000000000002E-3</v>
      </c>
      <c r="P80" s="36">
        <f t="shared" si="3"/>
        <v>6.1667245856543507E-3</v>
      </c>
    </row>
    <row r="81" spans="13:16">
      <c r="M81" s="80">
        <v>0.72</v>
      </c>
      <c r="N81" s="81">
        <f t="shared" si="2"/>
        <v>7.7000000000000002E-3</v>
      </c>
      <c r="P81" s="36">
        <f t="shared" si="3"/>
        <v>6.09810972531651E-3</v>
      </c>
    </row>
    <row r="82" spans="13:16">
      <c r="M82" s="80">
        <v>0.73</v>
      </c>
      <c r="N82" s="81">
        <f t="shared" si="2"/>
        <v>7.7000000000000002E-3</v>
      </c>
      <c r="P82" s="36">
        <f t="shared" si="3"/>
        <v>6.031189074125122E-3</v>
      </c>
    </row>
    <row r="83" spans="13:16">
      <c r="M83" s="80">
        <v>0.74</v>
      </c>
      <c r="N83" s="81">
        <f t="shared" si="2"/>
        <v>7.7000000000000002E-3</v>
      </c>
      <c r="P83" s="36">
        <f t="shared" si="3"/>
        <v>5.9658984393644319E-3</v>
      </c>
    </row>
    <row r="84" spans="13:16">
      <c r="M84" s="80">
        <v>0.75</v>
      </c>
      <c r="N84" s="81">
        <f t="shared" si="2"/>
        <v>7.7000000000000002E-3</v>
      </c>
      <c r="P84" s="36">
        <f t="shared" si="3"/>
        <v>5.9021768851396416E-3</v>
      </c>
    </row>
    <row r="85" spans="13:16">
      <c r="M85" s="80">
        <v>0.76</v>
      </c>
      <c r="N85" s="81">
        <f t="shared" si="2"/>
        <v>7.7000000000000002E-3</v>
      </c>
      <c r="P85" s="36">
        <f t="shared" si="3"/>
        <v>5.839966526408385E-3</v>
      </c>
    </row>
    <row r="86" spans="13:16">
      <c r="M86" s="80">
        <v>0.77</v>
      </c>
      <c r="N86" s="81">
        <f t="shared" si="2"/>
        <v>7.7000000000000002E-3</v>
      </c>
      <c r="P86" s="36">
        <f t="shared" si="3"/>
        <v>5.7792123385471839E-3</v>
      </c>
    </row>
    <row r="87" spans="13:16">
      <c r="M87" s="80">
        <v>0.78</v>
      </c>
      <c r="N87" s="81">
        <f t="shared" si="2"/>
        <v>7.7000000000000002E-3</v>
      </c>
      <c r="P87" s="36">
        <f t="shared" si="3"/>
        <v>5.719861981096812E-3</v>
      </c>
    </row>
    <row r="88" spans="13:16">
      <c r="M88" s="80">
        <v>0.79</v>
      </c>
      <c r="N88" s="81">
        <f t="shared" si="2"/>
        <v>7.7000000000000002E-3</v>
      </c>
      <c r="P88" s="36">
        <f t="shared" si="3"/>
        <v>5.6618656344645212E-3</v>
      </c>
    </row>
    <row r="89" spans="13:16">
      <c r="M89" s="80">
        <v>0.8</v>
      </c>
      <c r="N89" s="81">
        <f t="shared" si="2"/>
        <v>7.7000000000000002E-3</v>
      </c>
      <c r="P89" s="36">
        <f t="shared" si="3"/>
        <v>5.6051758484803758E-3</v>
      </c>
    </row>
    <row r="90" spans="13:16">
      <c r="M90" s="80">
        <v>0.81</v>
      </c>
      <c r="N90" s="81">
        <f t="shared" si="2"/>
        <v>7.7000000000000002E-3</v>
      </c>
      <c r="P90" s="36">
        <f t="shared" si="3"/>
        <v>5.5497474018113176E-3</v>
      </c>
    </row>
    <row r="91" spans="13:16">
      <c r="M91" s="80">
        <v>0.82</v>
      </c>
      <c r="N91" s="81">
        <f t="shared" si="2"/>
        <v>7.7000000000000002E-3</v>
      </c>
      <c r="P91" s="36">
        <f t="shared" si="3"/>
        <v>5.495537171331423E-3</v>
      </c>
    </row>
    <row r="92" spans="13:16">
      <c r="M92" s="80">
        <v>0.83</v>
      </c>
      <c r="N92" s="81">
        <f t="shared" si="2"/>
        <v>7.7000000000000002E-3</v>
      </c>
      <c r="P92" s="36">
        <f t="shared" si="3"/>
        <v>5.4425040106316708E-3</v>
      </c>
    </row>
    <row r="93" spans="13:16">
      <c r="M93" s="80">
        <v>0.84</v>
      </c>
      <c r="N93" s="81">
        <f t="shared" si="2"/>
        <v>7.7000000000000002E-3</v>
      </c>
      <c r="P93" s="36">
        <f t="shared" si="3"/>
        <v>5.3906086369284578E-3</v>
      </c>
    </row>
    <row r="94" spans="13:16">
      <c r="M94" s="80">
        <v>0.85</v>
      </c>
      <c r="N94" s="81">
        <f t="shared" si="2"/>
        <v>7.7000000000000002E-3</v>
      </c>
      <c r="P94" s="36">
        <f t="shared" si="3"/>
        <v>5.3398135256981704E-3</v>
      </c>
    </row>
    <row r="95" spans="13:16">
      <c r="M95" s="80">
        <v>0.86</v>
      </c>
      <c r="N95" s="81">
        <f t="shared" si="2"/>
        <v>7.7000000000000002E-3</v>
      </c>
      <c r="P95" s="36">
        <f t="shared" si="3"/>
        <v>5.2900828124261634E-3</v>
      </c>
    </row>
    <row r="96" spans="13:16">
      <c r="M96" s="80">
        <v>0.87</v>
      </c>
      <c r="N96" s="81">
        <f t="shared" si="2"/>
        <v>7.7000000000000002E-3</v>
      </c>
      <c r="P96" s="36">
        <f t="shared" si="3"/>
        <v>5.2413822009134726E-3</v>
      </c>
    </row>
    <row r="97" spans="13:16">
      <c r="M97" s="80">
        <v>0.88</v>
      </c>
      <c r="N97" s="81">
        <f t="shared" si="2"/>
        <v>7.7000000000000002E-3</v>
      </c>
      <c r="P97" s="36">
        <f t="shared" si="3"/>
        <v>5.1936788776338876E-3</v>
      </c>
    </row>
    <row r="98" spans="13:16">
      <c r="M98" s="80">
        <v>0.89</v>
      </c>
      <c r="N98" s="81">
        <f t="shared" si="2"/>
        <v>7.7000000000000002E-3</v>
      </c>
      <c r="P98" s="36">
        <f t="shared" si="3"/>
        <v>5.1469414316786307E-3</v>
      </c>
    </row>
    <row r="99" spans="13:16">
      <c r="M99" s="80">
        <v>0.9</v>
      </c>
      <c r="N99" s="81">
        <f t="shared" si="2"/>
        <v>7.7000000000000002E-3</v>
      </c>
      <c r="P99" s="36">
        <f t="shared" si="3"/>
        <v>5.1011397798659585E-3</v>
      </c>
    </row>
    <row r="100" spans="13:16">
      <c r="M100" s="80">
        <v>0.91</v>
      </c>
      <c r="N100" s="81">
        <f t="shared" si="2"/>
        <v>7.7000000000000002E-3</v>
      </c>
      <c r="P100" s="36">
        <f t="shared" si="3"/>
        <v>5.0562450966293252E-3</v>
      </c>
    </row>
    <row r="101" spans="13:16">
      <c r="M101" s="80">
        <v>0.92</v>
      </c>
      <c r="N101" s="81">
        <f t="shared" si="2"/>
        <v>7.7000000000000002E-3</v>
      </c>
      <c r="P101" s="36">
        <f t="shared" si="3"/>
        <v>5.0122297483305017E-3</v>
      </c>
    </row>
    <row r="102" spans="13:16">
      <c r="M102" s="80">
        <v>0.93</v>
      </c>
      <c r="N102" s="81">
        <f t="shared" si="2"/>
        <v>7.7000000000000002E-3</v>
      </c>
      <c r="P102" s="36">
        <f t="shared" si="3"/>
        <v>4.9690672316737737E-3</v>
      </c>
    </row>
    <row r="103" spans="13:16">
      <c r="M103" s="80">
        <v>0.94</v>
      </c>
      <c r="N103" s="81">
        <f t="shared" si="2"/>
        <v>7.7000000000000002E-3</v>
      </c>
      <c r="P103" s="36">
        <f t="shared" si="3"/>
        <v>4.9267321159241935E-3</v>
      </c>
    </row>
    <row r="104" spans="13:16">
      <c r="M104" s="80">
        <v>0.95</v>
      </c>
      <c r="N104" s="81">
        <f t="shared" si="2"/>
        <v>7.7000000000000002E-3</v>
      </c>
      <c r="P104" s="36">
        <f t="shared" si="3"/>
        <v>4.8851999886573398E-3</v>
      </c>
    </row>
    <row r="105" spans="13:16">
      <c r="M105" s="80">
        <v>0.96</v>
      </c>
      <c r="N105" s="81">
        <f t="shared" si="2"/>
        <v>7.7000000000000002E-3</v>
      </c>
      <c r="P105" s="36">
        <f t="shared" si="3"/>
        <v>4.8444474047901536E-3</v>
      </c>
    </row>
    <row r="106" spans="13:16">
      <c r="M106" s="80">
        <v>0.97</v>
      </c>
      <c r="N106" s="81">
        <f t="shared" si="2"/>
        <v>7.7000000000000002E-3</v>
      </c>
      <c r="P106" s="36">
        <f t="shared" si="3"/>
        <v>4.8044518386625816E-3</v>
      </c>
    </row>
    <row r="107" spans="13:16">
      <c r="M107" s="80">
        <v>0.98</v>
      </c>
      <c r="N107" s="81">
        <f t="shared" si="2"/>
        <v>7.7000000000000002E-3</v>
      </c>
      <c r="P107" s="36">
        <f t="shared" si="3"/>
        <v>4.7651916389581635E-3</v>
      </c>
    </row>
    <row r="108" spans="13:16">
      <c r="M108" s="80">
        <v>0.99</v>
      </c>
      <c r="N108" s="81">
        <f t="shared" si="2"/>
        <v>7.7000000000000002E-3</v>
      </c>
      <c r="P108" s="36">
        <f t="shared" si="3"/>
        <v>4.7266459862683047E-3</v>
      </c>
    </row>
    <row r="109" spans="13:16">
      <c r="M109" s="80">
        <v>1</v>
      </c>
      <c r="N109" s="81">
        <f t="shared" si="2"/>
        <v>7.7000000000000002E-3</v>
      </c>
      <c r="P109" s="36">
        <f t="shared" si="3"/>
        <v>4.6887948531203448E-3</v>
      </c>
    </row>
    <row r="110" spans="13:16">
      <c r="M110" s="80">
        <v>1.01</v>
      </c>
      <c r="N110" s="81">
        <f t="shared" si="2"/>
        <v>7.7000000000000002E-3</v>
      </c>
      <c r="P110" s="36">
        <f t="shared" si="3"/>
        <v>4.6147378346641094E-3</v>
      </c>
    </row>
    <row r="111" spans="13:16">
      <c r="M111" s="80">
        <v>1.02</v>
      </c>
      <c r="N111" s="81">
        <f t="shared" si="2"/>
        <v>7.7000000000000002E-3</v>
      </c>
      <c r="P111" s="36">
        <f t="shared" si="3"/>
        <v>4.5425629754799364E-3</v>
      </c>
    </row>
    <row r="112" spans="13:16">
      <c r="M112" s="80">
        <v>1.03</v>
      </c>
      <c r="N112" s="81">
        <f t="shared" si="2"/>
        <v>7.7000000000000002E-3</v>
      </c>
      <c r="P112" s="36">
        <f t="shared" si="3"/>
        <v>4.4722046838472397E-3</v>
      </c>
    </row>
    <row r="113" spans="13:16">
      <c r="M113" s="80">
        <v>1.04</v>
      </c>
      <c r="N113" s="81">
        <f t="shared" si="2"/>
        <v>7.7000000000000002E-3</v>
      </c>
      <c r="P113" s="36">
        <f t="shared" si="3"/>
        <v>4.4036002607968482E-3</v>
      </c>
    </row>
    <row r="114" spans="13:16">
      <c r="M114" s="80">
        <v>1.05</v>
      </c>
      <c r="N114" s="81">
        <f t="shared" si="2"/>
        <v>7.7000000000000002E-3</v>
      </c>
      <c r="P114" s="36">
        <f t="shared" si="3"/>
        <v>4.3366897462751826E-3</v>
      </c>
    </row>
    <row r="115" spans="13:16">
      <c r="M115" s="80">
        <v>1.06</v>
      </c>
      <c r="N115" s="81">
        <f t="shared" si="2"/>
        <v>7.7000000000000002E-3</v>
      </c>
      <c r="P115" s="36">
        <f t="shared" si="3"/>
        <v>4.2714157748595192E-3</v>
      </c>
    </row>
    <row r="116" spans="13:16">
      <c r="M116" s="80">
        <v>1.07</v>
      </c>
      <c r="N116" s="81">
        <f t="shared" si="2"/>
        <v>7.7000000000000002E-3</v>
      </c>
      <c r="P116" s="36">
        <f t="shared" si="3"/>
        <v>4.2077234403478771E-3</v>
      </c>
    </row>
    <row r="117" spans="13:16">
      <c r="M117" s="80">
        <v>1.08</v>
      </c>
      <c r="N117" s="81">
        <f t="shared" si="2"/>
        <v>7.7000000000000002E-3</v>
      </c>
      <c r="P117" s="36">
        <f t="shared" si="3"/>
        <v>4.1455601686007735E-3</v>
      </c>
    </row>
    <row r="118" spans="13:16">
      <c r="M118" s="80">
        <v>1.0900000000000001</v>
      </c>
      <c r="N118" s="81">
        <f t="shared" si="2"/>
        <v>7.7000000000000002E-3</v>
      </c>
      <c r="P118" s="36">
        <f t="shared" si="3"/>
        <v>4.0848755980610729E-3</v>
      </c>
    </row>
    <row r="119" spans="13:16">
      <c r="M119" s="80">
        <v>1.1000000000000001</v>
      </c>
      <c r="N119" s="81">
        <f t="shared" si="2"/>
        <v>7.7000000000000002E-3</v>
      </c>
      <c r="P119" s="36">
        <f t="shared" si="3"/>
        <v>4.0256214674229285E-3</v>
      </c>
    </row>
    <row r="120" spans="13:16">
      <c r="M120" s="80">
        <v>1.1100000000000001</v>
      </c>
      <c r="N120" s="81">
        <f t="shared" si="2"/>
        <v>7.7000000000000002E-3</v>
      </c>
      <c r="P120" s="36">
        <f t="shared" si="3"/>
        <v>3.9677515099616539E-3</v>
      </c>
    </row>
    <row r="121" spans="13:16">
      <c r="M121" s="80">
        <v>1.1200000000000001</v>
      </c>
      <c r="N121" s="81">
        <f t="shared" si="2"/>
        <v>7.7000000000000002E-3</v>
      </c>
      <c r="P121" s="36">
        <f t="shared" si="3"/>
        <v>3.9112213540737403E-3</v>
      </c>
    </row>
    <row r="122" spans="13:16">
      <c r="M122" s="80">
        <v>1.1299999999999999</v>
      </c>
      <c r="N122" s="81">
        <f t="shared" si="2"/>
        <v>7.7000000000000002E-3</v>
      </c>
      <c r="P122" s="36">
        <f t="shared" si="3"/>
        <v>3.8559884296105102E-3</v>
      </c>
    </row>
    <row r="123" spans="13:16">
      <c r="M123" s="80">
        <v>1.1399999999999999</v>
      </c>
      <c r="N123" s="81">
        <f t="shared" si="2"/>
        <v>7.7000000000000002E-3</v>
      </c>
      <c r="P123" s="36">
        <f t="shared" si="3"/>
        <v>3.802011879620129E-3</v>
      </c>
    </row>
    <row r="124" spans="13:16">
      <c r="M124" s="80">
        <v>1.1499999999999999</v>
      </c>
      <c r="N124" s="81">
        <f t="shared" si="2"/>
        <v>7.7000000000000002E-3</v>
      </c>
      <c r="P124" s="36">
        <f t="shared" si="3"/>
        <v>3.749252477141573E-3</v>
      </c>
    </row>
    <row r="125" spans="13:16">
      <c r="M125" s="80">
        <v>1.1599999999999999</v>
      </c>
      <c r="N125" s="81">
        <f t="shared" si="2"/>
        <v>7.7000000000000002E-3</v>
      </c>
      <c r="P125" s="36">
        <f t="shared" si="3"/>
        <v>3.697672546720343E-3</v>
      </c>
    </row>
    <row r="126" spans="13:16">
      <c r="M126" s="80">
        <v>1.17</v>
      </c>
      <c r="N126" s="81">
        <f t="shared" si="2"/>
        <v>7.7000000000000002E-3</v>
      </c>
      <c r="P126" s="36">
        <f t="shared" si="3"/>
        <v>3.6472358903400733E-3</v>
      </c>
    </row>
    <row r="127" spans="13:16">
      <c r="M127" s="80">
        <v>1.18</v>
      </c>
      <c r="N127" s="81">
        <f t="shared" si="2"/>
        <v>7.7000000000000002E-3</v>
      </c>
      <c r="P127" s="36">
        <f t="shared" si="3"/>
        <v>3.5979077174863247E-3</v>
      </c>
    </row>
    <row r="128" spans="13:16">
      <c r="M128" s="80">
        <v>1.19</v>
      </c>
      <c r="N128" s="81">
        <f t="shared" si="2"/>
        <v>7.7000000000000002E-3</v>
      </c>
      <c r="P128" s="36">
        <f t="shared" si="3"/>
        <v>3.5496545790793229E-3</v>
      </c>
    </row>
    <row r="129" spans="13:16">
      <c r="M129" s="80">
        <v>1.2</v>
      </c>
      <c r="N129" s="81">
        <f t="shared" si="2"/>
        <v>7.7000000000000002E-3</v>
      </c>
      <c r="P129" s="36">
        <f t="shared" si="3"/>
        <v>3.5024443050312476E-3</v>
      </c>
    </row>
    <row r="130" spans="13:16">
      <c r="M130" s="80">
        <v>1.21</v>
      </c>
      <c r="N130" s="81">
        <f t="shared" si="2"/>
        <v>7.7000000000000002E-3</v>
      </c>
      <c r="P130" s="36">
        <f t="shared" si="3"/>
        <v>3.4562459452009641E-3</v>
      </c>
    </row>
    <row r="131" spans="13:16">
      <c r="M131" s="80">
        <v>1.22</v>
      </c>
      <c r="N131" s="81">
        <f t="shared" si="2"/>
        <v>7.7000000000000002E-3</v>
      </c>
      <c r="P131" s="36">
        <f t="shared" si="3"/>
        <v>3.411029713535095E-3</v>
      </c>
    </row>
    <row r="132" spans="13:16">
      <c r="M132" s="80">
        <v>1.23</v>
      </c>
      <c r="N132" s="81">
        <f t="shared" si="2"/>
        <v>7.7000000000000002E-3</v>
      </c>
      <c r="P132" s="36">
        <f t="shared" si="3"/>
        <v>3.3667669351990308E-3</v>
      </c>
    </row>
    <row r="133" spans="13:16">
      <c r="M133" s="80">
        <v>1.24</v>
      </c>
      <c r="N133" s="81">
        <f t="shared" si="2"/>
        <v>7.7000000000000002E-3</v>
      </c>
      <c r="P133" s="36">
        <f t="shared" si="3"/>
        <v>3.3234299965150694E-3</v>
      </c>
    </row>
    <row r="134" spans="13:16">
      <c r="M134" s="80">
        <v>1.25</v>
      </c>
      <c r="N134" s="81">
        <f t="shared" si="2"/>
        <v>7.7000000000000002E-3</v>
      </c>
      <c r="P134" s="36">
        <f t="shared" si="3"/>
        <v>3.2809922975374256E-3</v>
      </c>
    </row>
    <row r="135" spans="13:16">
      <c r="M135" s="80">
        <v>1.26</v>
      </c>
      <c r="N135" s="81">
        <f t="shared" si="2"/>
        <v>7.7000000000000002E-3</v>
      </c>
      <c r="P135" s="36">
        <f t="shared" si="3"/>
        <v>3.2394282071054551E-3</v>
      </c>
    </row>
    <row r="136" spans="13:16">
      <c r="M136" s="80">
        <v>1.27</v>
      </c>
      <c r="N136" s="81">
        <f t="shared" si="2"/>
        <v>7.7000000000000002E-3</v>
      </c>
      <c r="P136" s="36">
        <f t="shared" si="3"/>
        <v>3.1987130202271196E-3</v>
      </c>
    </row>
    <row r="137" spans="13:16">
      <c r="M137" s="80">
        <v>1.28</v>
      </c>
      <c r="N137" s="81">
        <f t="shared" si="2"/>
        <v>7.7000000000000002E-3</v>
      </c>
      <c r="P137" s="36">
        <f t="shared" si="3"/>
        <v>3.1588229176546965E-3</v>
      </c>
    </row>
    <row r="138" spans="13:16">
      <c r="M138" s="80">
        <v>1.29</v>
      </c>
      <c r="N138" s="81">
        <f t="shared" ref="N138:N201" si="4">ROUND(IF(P138&lt;$J$6,$J$6,P138),5)</f>
        <v>7.7000000000000002E-3</v>
      </c>
      <c r="P138" s="36">
        <f t="shared" ref="P138:P201" si="5">IF(M138&lt;$F$6,$C$6*$D$6*(2/3+(M138/$F$6)*(2.5/$E$6-2/3)),IF(M138&lt;$G$6,$C$6*$D$6*(2.5/$E$6),IF(M138&lt;$H$6,$C$6*$D$6*(2.5/$E$6)*(($G$6/M138)^$I$6),$C$6*$D$6*(2.5/$E$6)*($G$6*$H$6/M138^2)^$I$6)))</f>
        <v>3.1197349275238393E-3</v>
      </c>
    </row>
    <row r="139" spans="13:16">
      <c r="M139" s="80">
        <v>1.3</v>
      </c>
      <c r="N139" s="81">
        <f t="shared" si="4"/>
        <v>7.7000000000000002E-3</v>
      </c>
      <c r="P139" s="36">
        <f t="shared" si="5"/>
        <v>3.0814268889356815E-3</v>
      </c>
    </row>
    <row r="140" spans="13:16">
      <c r="M140" s="80">
        <v>1.31</v>
      </c>
      <c r="N140" s="81">
        <f t="shared" si="4"/>
        <v>7.7000000000000002E-3</v>
      </c>
      <c r="P140" s="36">
        <f t="shared" si="5"/>
        <v>3.0438774173694931E-3</v>
      </c>
    </row>
    <row r="141" spans="13:16">
      <c r="M141" s="80">
        <v>1.32</v>
      </c>
      <c r="N141" s="81">
        <f t="shared" si="4"/>
        <v>7.7000000000000002E-3</v>
      </c>
      <c r="P141" s="36">
        <f t="shared" si="5"/>
        <v>3.007065871820749E-3</v>
      </c>
    </row>
    <row r="142" spans="13:16">
      <c r="M142" s="80">
        <v>1.33</v>
      </c>
      <c r="N142" s="81">
        <f t="shared" si="4"/>
        <v>7.7000000000000002E-3</v>
      </c>
      <c r="P142" s="36">
        <f t="shared" si="5"/>
        <v>2.9709723235662351E-3</v>
      </c>
    </row>
    <row r="143" spans="13:16">
      <c r="M143" s="80">
        <v>1.34</v>
      </c>
      <c r="N143" s="81">
        <f t="shared" si="4"/>
        <v>7.7000000000000002E-3</v>
      </c>
      <c r="P143" s="36">
        <f t="shared" si="5"/>
        <v>2.9355775264641045E-3</v>
      </c>
    </row>
    <row r="144" spans="13:16">
      <c r="M144" s="80">
        <v>1.35</v>
      </c>
      <c r="N144" s="81">
        <f t="shared" si="4"/>
        <v>7.7000000000000002E-3</v>
      </c>
      <c r="P144" s="36">
        <f t="shared" si="5"/>
        <v>2.900862888702711E-3</v>
      </c>
    </row>
    <row r="145" spans="13:16">
      <c r="M145" s="80">
        <v>1.36</v>
      </c>
      <c r="N145" s="81">
        <f t="shared" si="4"/>
        <v>7.7000000000000002E-3</v>
      </c>
      <c r="P145" s="36">
        <f t="shared" si="5"/>
        <v>2.8668104459173747E-3</v>
      </c>
    </row>
    <row r="146" spans="13:16">
      <c r="M146" s="80">
        <v>1.37</v>
      </c>
      <c r="N146" s="81">
        <f t="shared" si="4"/>
        <v>7.7000000000000002E-3</v>
      </c>
      <c r="P146" s="36">
        <f t="shared" si="5"/>
        <v>2.8334028355994213E-3</v>
      </c>
    </row>
    <row r="147" spans="13:16">
      <c r="M147" s="80">
        <v>1.38</v>
      </c>
      <c r="N147" s="81">
        <f t="shared" si="4"/>
        <v>7.7000000000000002E-3</v>
      </c>
      <c r="P147" s="36">
        <f t="shared" si="5"/>
        <v>2.8006232727264429E-3</v>
      </c>
    </row>
    <row r="148" spans="13:16">
      <c r="M148" s="80">
        <v>1.39</v>
      </c>
      <c r="N148" s="81">
        <f t="shared" si="4"/>
        <v>7.7000000000000002E-3</v>
      </c>
      <c r="P148" s="36">
        <f t="shared" si="5"/>
        <v>2.7684555265471739E-3</v>
      </c>
    </row>
    <row r="149" spans="13:16">
      <c r="M149" s="80">
        <v>1.4</v>
      </c>
      <c r="N149" s="81">
        <f t="shared" si="4"/>
        <v>7.7000000000000002E-3</v>
      </c>
      <c r="P149" s="36">
        <f t="shared" si="5"/>
        <v>2.7368838984584334E-3</v>
      </c>
    </row>
    <row r="150" spans="13:16">
      <c r="M150" s="80">
        <v>1.41</v>
      </c>
      <c r="N150" s="81">
        <f t="shared" si="4"/>
        <v>7.7000000000000002E-3</v>
      </c>
      <c r="P150" s="36">
        <f t="shared" si="5"/>
        <v>2.7058932009153911E-3</v>
      </c>
    </row>
    <row r="151" spans="13:16">
      <c r="M151" s="80">
        <v>1.42</v>
      </c>
      <c r="N151" s="81">
        <f t="shared" si="4"/>
        <v>7.7000000000000002E-3</v>
      </c>
      <c r="P151" s="36">
        <f t="shared" si="5"/>
        <v>2.6754687373199792E-3</v>
      </c>
    </row>
    <row r="152" spans="13:16">
      <c r="M152" s="80">
        <v>1.43</v>
      </c>
      <c r="N152" s="81">
        <f t="shared" si="4"/>
        <v>7.7000000000000002E-3</v>
      </c>
      <c r="P152" s="36">
        <f t="shared" si="5"/>
        <v>2.6455962828355688E-3</v>
      </c>
    </row>
    <row r="153" spans="13:16">
      <c r="M153" s="80">
        <v>1.44</v>
      </c>
      <c r="N153" s="81">
        <f t="shared" si="4"/>
        <v>7.7000000000000002E-3</v>
      </c>
      <c r="P153" s="36">
        <f t="shared" si="5"/>
        <v>2.6162620660791294E-3</v>
      </c>
    </row>
    <row r="154" spans="13:16">
      <c r="M154" s="80">
        <v>1.45</v>
      </c>
      <c r="N154" s="81">
        <f t="shared" si="4"/>
        <v>7.7000000000000002E-3</v>
      </c>
      <c r="P154" s="36">
        <f t="shared" si="5"/>
        <v>2.5874527516449768E-3</v>
      </c>
    </row>
    <row r="155" spans="13:16">
      <c r="M155" s="80">
        <v>1.46</v>
      </c>
      <c r="N155" s="81">
        <f t="shared" si="4"/>
        <v>7.7000000000000002E-3</v>
      </c>
      <c r="P155" s="36">
        <f t="shared" si="5"/>
        <v>2.5591554234169036E-3</v>
      </c>
    </row>
    <row r="156" spans="13:16">
      <c r="M156" s="80">
        <v>1.47</v>
      </c>
      <c r="N156" s="81">
        <f t="shared" si="4"/>
        <v>7.7000000000000002E-3</v>
      </c>
      <c r="P156" s="36">
        <f t="shared" si="5"/>
        <v>2.5313575686280307E-3</v>
      </c>
    </row>
    <row r="157" spans="13:16">
      <c r="M157" s="80">
        <v>1.48</v>
      </c>
      <c r="N157" s="81">
        <f t="shared" si="4"/>
        <v>7.7000000000000002E-3</v>
      </c>
      <c r="P157" s="36">
        <f t="shared" si="5"/>
        <v>2.5040470626300402E-3</v>
      </c>
    </row>
    <row r="158" spans="13:16">
      <c r="M158" s="80">
        <v>1.49</v>
      </c>
      <c r="N158" s="81">
        <f t="shared" si="4"/>
        <v>7.7000000000000002E-3</v>
      </c>
      <c r="P158" s="36">
        <f t="shared" si="5"/>
        <v>2.4772121543357095E-3</v>
      </c>
    </row>
    <row r="159" spans="13:16">
      <c r="M159" s="80">
        <v>1.5</v>
      </c>
      <c r="N159" s="81">
        <f t="shared" si="4"/>
        <v>7.7000000000000002E-3</v>
      </c>
      <c r="P159" s="36">
        <f t="shared" si="5"/>
        <v>2.4508414523006648E-3</v>
      </c>
    </row>
    <row r="160" spans="13:16">
      <c r="M160" s="80">
        <v>1.51</v>
      </c>
      <c r="N160" s="81">
        <f t="shared" si="4"/>
        <v>7.7000000000000002E-3</v>
      </c>
      <c r="P160" s="36">
        <f t="shared" si="5"/>
        <v>2.4249239114122788E-3</v>
      </c>
    </row>
    <row r="161" spans="13:16">
      <c r="M161" s="80">
        <v>1.52</v>
      </c>
      <c r="N161" s="81">
        <f t="shared" si="4"/>
        <v>7.7000000000000002E-3</v>
      </c>
      <c r="P161" s="36">
        <f t="shared" si="5"/>
        <v>2.3994488201554013E-3</v>
      </c>
    </row>
    <row r="162" spans="13:16">
      <c r="M162" s="80">
        <v>1.53</v>
      </c>
      <c r="N162" s="81">
        <f t="shared" si="4"/>
        <v>7.7000000000000002E-3</v>
      </c>
      <c r="P162" s="36">
        <f t="shared" si="5"/>
        <v>2.3744057884263177E-3</v>
      </c>
    </row>
    <row r="163" spans="13:16">
      <c r="M163" s="80">
        <v>1.54</v>
      </c>
      <c r="N163" s="81">
        <f t="shared" si="4"/>
        <v>7.7000000000000002E-3</v>
      </c>
      <c r="P163" s="36">
        <f t="shared" si="5"/>
        <v>2.3497847358679574E-3</v>
      </c>
    </row>
    <row r="164" spans="13:16">
      <c r="M164" s="80">
        <v>1.55</v>
      </c>
      <c r="N164" s="81">
        <f t="shared" si="4"/>
        <v>7.7000000000000002E-3</v>
      </c>
      <c r="P164" s="36">
        <f t="shared" si="5"/>
        <v>2.3255758807008103E-3</v>
      </c>
    </row>
    <row r="165" spans="13:16">
      <c r="M165" s="80">
        <v>1.56</v>
      </c>
      <c r="N165" s="81">
        <f t="shared" si="4"/>
        <v>7.7000000000000002E-3</v>
      </c>
      <c r="P165" s="36">
        <f t="shared" si="5"/>
        <v>2.3017697290254901E-3</v>
      </c>
    </row>
    <row r="166" spans="13:16">
      <c r="M166" s="80">
        <v>1.57</v>
      </c>
      <c r="N166" s="81">
        <f t="shared" si="4"/>
        <v>7.7000000000000002E-3</v>
      </c>
      <c r="P166" s="36">
        <f t="shared" si="5"/>
        <v>2.2783570645741108E-3</v>
      </c>
    </row>
    <row r="167" spans="13:16">
      <c r="M167" s="80">
        <v>1.58</v>
      </c>
      <c r="N167" s="81">
        <f t="shared" si="4"/>
        <v>7.7000000000000002E-3</v>
      </c>
      <c r="P167" s="36">
        <f t="shared" si="5"/>
        <v>2.2553289388889666E-3</v>
      </c>
    </row>
    <row r="168" spans="13:16">
      <c r="M168" s="80">
        <v>1.59</v>
      </c>
      <c r="N168" s="81">
        <f t="shared" si="4"/>
        <v>7.7000000000000002E-3</v>
      </c>
      <c r="P168" s="36">
        <f t="shared" si="5"/>
        <v>2.2326766619081128E-3</v>
      </c>
    </row>
    <row r="169" spans="13:16">
      <c r="M169" s="80">
        <v>1.6</v>
      </c>
      <c r="N169" s="81">
        <f t="shared" si="4"/>
        <v>7.7000000000000002E-3</v>
      </c>
      <c r="P169" s="36">
        <f t="shared" si="5"/>
        <v>2.2103917929385576E-3</v>
      </c>
    </row>
    <row r="170" spans="13:16">
      <c r="M170" s="80">
        <v>1.61</v>
      </c>
      <c r="N170" s="81">
        <f t="shared" si="4"/>
        <v>7.7000000000000002E-3</v>
      </c>
      <c r="P170" s="36">
        <f t="shared" si="5"/>
        <v>2.1884661319987999E-3</v>
      </c>
    </row>
    <row r="171" spans="13:16">
      <c r="M171" s="80">
        <v>1.62</v>
      </c>
      <c r="N171" s="81">
        <f t="shared" si="4"/>
        <v>7.7000000000000002E-3</v>
      </c>
      <c r="P171" s="36">
        <f t="shared" si="5"/>
        <v>2.16689171151343E-3</v>
      </c>
    </row>
    <row r="172" spans="13:16">
      <c r="M172" s="80">
        <v>1.63</v>
      </c>
      <c r="N172" s="81">
        <f t="shared" si="4"/>
        <v>7.7000000000000002E-3</v>
      </c>
      <c r="P172" s="36">
        <f t="shared" si="5"/>
        <v>2.1456607883433908E-3</v>
      </c>
    </row>
    <row r="173" spans="13:16">
      <c r="M173" s="80">
        <v>1.64</v>
      </c>
      <c r="N173" s="81">
        <f t="shared" si="4"/>
        <v>7.7000000000000002E-3</v>
      </c>
      <c r="P173" s="36">
        <f t="shared" si="5"/>
        <v>2.1247658361363861E-3</v>
      </c>
    </row>
    <row r="174" spans="13:16">
      <c r="M174" s="80">
        <v>1.65</v>
      </c>
      <c r="N174" s="81">
        <f t="shared" si="4"/>
        <v>7.7000000000000002E-3</v>
      </c>
      <c r="P174" s="36">
        <f t="shared" si="5"/>
        <v>2.1041995379827119E-3</v>
      </c>
    </row>
    <row r="175" spans="13:16">
      <c r="M175" s="80">
        <v>1.66</v>
      </c>
      <c r="N175" s="81">
        <f t="shared" si="4"/>
        <v>7.7000000000000002E-3</v>
      </c>
      <c r="P175" s="36">
        <f t="shared" si="5"/>
        <v>2.0839547793625609E-3</v>
      </c>
    </row>
    <row r="176" spans="13:16">
      <c r="M176" s="80">
        <v>1.67</v>
      </c>
      <c r="N176" s="81">
        <f t="shared" si="4"/>
        <v>7.7000000000000002E-3</v>
      </c>
      <c r="P176" s="36">
        <f t="shared" si="5"/>
        <v>2.064024641371539E-3</v>
      </c>
    </row>
    <row r="177" spans="13:16">
      <c r="M177" s="80">
        <v>1.68</v>
      </c>
      <c r="N177" s="81">
        <f t="shared" si="4"/>
        <v>7.7000000000000002E-3</v>
      </c>
      <c r="P177" s="36">
        <f t="shared" si="5"/>
        <v>2.0444023942118553E-3</v>
      </c>
    </row>
    <row r="178" spans="13:16">
      <c r="M178" s="80">
        <v>1.69</v>
      </c>
      <c r="N178" s="81">
        <f t="shared" si="4"/>
        <v>7.7000000000000002E-3</v>
      </c>
      <c r="P178" s="36">
        <f t="shared" si="5"/>
        <v>2.0250814909372455E-3</v>
      </c>
    </row>
    <row r="179" spans="13:16">
      <c r="M179" s="80">
        <v>1.7</v>
      </c>
      <c r="N179" s="81">
        <f t="shared" si="4"/>
        <v>7.7000000000000002E-3</v>
      </c>
      <c r="P179" s="36">
        <f t="shared" si="5"/>
        <v>2.0060555614403049E-3</v>
      </c>
    </row>
    <row r="180" spans="13:16">
      <c r="M180" s="80">
        <v>1.71</v>
      </c>
      <c r="N180" s="81">
        <f t="shared" si="4"/>
        <v>7.7000000000000002E-3</v>
      </c>
      <c r="P180" s="36">
        <f t="shared" si="5"/>
        <v>1.9873184066714839E-3</v>
      </c>
    </row>
    <row r="181" spans="13:16">
      <c r="M181" s="80">
        <v>1.72</v>
      </c>
      <c r="N181" s="81">
        <f t="shared" si="4"/>
        <v>7.7000000000000002E-3</v>
      </c>
      <c r="P181" s="36">
        <f t="shared" si="5"/>
        <v>1.9688639930795244E-3</v>
      </c>
    </row>
    <row r="182" spans="13:16">
      <c r="M182" s="80">
        <v>1.73</v>
      </c>
      <c r="N182" s="81">
        <f t="shared" si="4"/>
        <v>7.7000000000000002E-3</v>
      </c>
      <c r="P182" s="36">
        <f t="shared" si="5"/>
        <v>1.9506864472636199E-3</v>
      </c>
    </row>
    <row r="183" spans="13:16">
      <c r="M183" s="80">
        <v>1.74</v>
      </c>
      <c r="N183" s="81">
        <f t="shared" si="4"/>
        <v>7.7000000000000002E-3</v>
      </c>
      <c r="P183" s="36">
        <f t="shared" si="5"/>
        <v>1.9327800508280794E-3</v>
      </c>
    </row>
    <row r="184" spans="13:16">
      <c r="M184" s="80">
        <v>1.75</v>
      </c>
      <c r="N184" s="81">
        <f t="shared" si="4"/>
        <v>7.7000000000000002E-3</v>
      </c>
      <c r="P184" s="36">
        <f t="shared" si="5"/>
        <v>1.9151392354307044E-3</v>
      </c>
    </row>
    <row r="185" spans="13:16">
      <c r="M185" s="80">
        <v>1.76</v>
      </c>
      <c r="N185" s="81">
        <f t="shared" si="4"/>
        <v>7.7000000000000002E-3</v>
      </c>
      <c r="P185" s="36">
        <f t="shared" si="5"/>
        <v>1.8977585780165357E-3</v>
      </c>
    </row>
    <row r="186" spans="13:16">
      <c r="M186" s="80">
        <v>1.77</v>
      </c>
      <c r="N186" s="81">
        <f t="shared" si="4"/>
        <v>7.7000000000000002E-3</v>
      </c>
      <c r="P186" s="36">
        <f t="shared" si="5"/>
        <v>1.8806327962290199E-3</v>
      </c>
    </row>
    <row r="187" spans="13:16">
      <c r="M187" s="80">
        <v>1.78</v>
      </c>
      <c r="N187" s="81">
        <f t="shared" si="4"/>
        <v>7.7000000000000002E-3</v>
      </c>
      <c r="P187" s="36">
        <f t="shared" si="5"/>
        <v>1.8637567439910418E-3</v>
      </c>
    </row>
    <row r="188" spans="13:16">
      <c r="M188" s="80">
        <v>1.79</v>
      </c>
      <c r="N188" s="81">
        <f t="shared" si="4"/>
        <v>7.7000000000000002E-3</v>
      </c>
      <c r="P188" s="36">
        <f t="shared" si="5"/>
        <v>1.8471254072486088E-3</v>
      </c>
    </row>
    <row r="189" spans="13:16">
      <c r="M189" s="80">
        <v>1.8</v>
      </c>
      <c r="N189" s="81">
        <f t="shared" si="4"/>
        <v>7.7000000000000002E-3</v>
      </c>
      <c r="P189" s="36">
        <f t="shared" si="5"/>
        <v>1.8307338998703373E-3</v>
      </c>
    </row>
    <row r="190" spans="13:16">
      <c r="M190" s="80">
        <v>1.81</v>
      </c>
      <c r="N190" s="81">
        <f t="shared" si="4"/>
        <v>7.7000000000000002E-3</v>
      </c>
      <c r="P190" s="36">
        <f t="shared" si="5"/>
        <v>1.8145774596962246E-3</v>
      </c>
    </row>
    <row r="191" spans="13:16">
      <c r="M191" s="80">
        <v>1.82</v>
      </c>
      <c r="N191" s="81">
        <f t="shared" si="4"/>
        <v>7.7000000000000002E-3</v>
      </c>
      <c r="P191" s="36">
        <f t="shared" si="5"/>
        <v>1.7986514447294521E-3</v>
      </c>
    </row>
    <row r="192" spans="13:16">
      <c r="M192" s="80">
        <v>1.83</v>
      </c>
      <c r="N192" s="81">
        <f t="shared" si="4"/>
        <v>7.7000000000000002E-3</v>
      </c>
      <c r="P192" s="36">
        <f t="shared" si="5"/>
        <v>1.7829513294653205E-3</v>
      </c>
    </row>
    <row r="193" spans="13:16">
      <c r="M193" s="80">
        <v>1.84</v>
      </c>
      <c r="N193" s="81">
        <f t="shared" si="4"/>
        <v>7.7000000000000002E-3</v>
      </c>
      <c r="P193" s="36">
        <f t="shared" si="5"/>
        <v>1.7674727013516417E-3</v>
      </c>
    </row>
    <row r="194" spans="13:16">
      <c r="M194" s="80">
        <v>1.85</v>
      </c>
      <c r="N194" s="81">
        <f t="shared" si="4"/>
        <v>7.7000000000000002E-3</v>
      </c>
      <c r="P194" s="36">
        <f t="shared" si="5"/>
        <v>1.7522112573752024E-3</v>
      </c>
    </row>
    <row r="195" spans="13:16">
      <c r="M195" s="80">
        <v>1.86</v>
      </c>
      <c r="N195" s="81">
        <f t="shared" si="4"/>
        <v>7.7000000000000002E-3</v>
      </c>
      <c r="P195" s="36">
        <f t="shared" si="5"/>
        <v>1.7371628007691647E-3</v>
      </c>
    </row>
    <row r="196" spans="13:16">
      <c r="M196" s="80">
        <v>1.87</v>
      </c>
      <c r="N196" s="81">
        <f t="shared" si="4"/>
        <v>7.7000000000000002E-3</v>
      </c>
      <c r="P196" s="36">
        <f t="shared" si="5"/>
        <v>1.7223232378364782E-3</v>
      </c>
    </row>
    <row r="197" spans="13:16">
      <c r="M197" s="80">
        <v>1.88</v>
      </c>
      <c r="N197" s="81">
        <f t="shared" si="4"/>
        <v>7.7000000000000002E-3</v>
      </c>
      <c r="P197" s="36">
        <f t="shared" si="5"/>
        <v>1.7076885748846368E-3</v>
      </c>
    </row>
    <row r="198" spans="13:16">
      <c r="M198" s="80">
        <v>1.89</v>
      </c>
      <c r="N198" s="81">
        <f t="shared" si="4"/>
        <v>7.7000000000000002E-3</v>
      </c>
      <c r="P198" s="36">
        <f t="shared" si="5"/>
        <v>1.6932549152673059E-3</v>
      </c>
    </row>
    <row r="199" spans="13:16">
      <c r="M199" s="80">
        <v>1.9</v>
      </c>
      <c r="N199" s="81">
        <f t="shared" si="4"/>
        <v>7.7000000000000002E-3</v>
      </c>
      <c r="P199" s="36">
        <f t="shared" si="5"/>
        <v>1.6790184565285513E-3</v>
      </c>
    </row>
    <row r="200" spans="13:16">
      <c r="M200" s="80">
        <v>1.91</v>
      </c>
      <c r="N200" s="81">
        <f t="shared" si="4"/>
        <v>7.7000000000000002E-3</v>
      </c>
      <c r="P200" s="36">
        <f t="shared" si="5"/>
        <v>1.6649754876455871E-3</v>
      </c>
    </row>
    <row r="201" spans="13:16">
      <c r="M201" s="80">
        <v>1.92</v>
      </c>
      <c r="N201" s="81">
        <f t="shared" si="4"/>
        <v>7.7000000000000002E-3</v>
      </c>
      <c r="P201" s="36">
        <f t="shared" si="5"/>
        <v>1.6511223863661664E-3</v>
      </c>
    </row>
    <row r="202" spans="13:16">
      <c r="M202" s="80">
        <v>1.93</v>
      </c>
      <c r="N202" s="81">
        <f t="shared" ref="N202:N265" si="6">ROUND(IF(P202&lt;$J$6,$J$6,P202),5)</f>
        <v>7.7000000000000002E-3</v>
      </c>
      <c r="P202" s="36">
        <f t="shared" ref="P202:P265" si="7">IF(M202&lt;$F$6,$C$6*$D$6*(2/3+(M202/$F$6)*(2.5/$E$6-2/3)),IF(M202&lt;$G$6,$C$6*$D$6*(2.5/$E$6),IF(M202&lt;$H$6,$C$6*$D$6*(2.5/$E$6)*(($G$6/M202)^$I$6),$C$6*$D$6*(2.5/$E$6)*($G$6*$H$6/M202^2)^$I$6)))</f>
        <v>1.6374556166368693E-3</v>
      </c>
    </row>
    <row r="203" spans="13:16">
      <c r="M203" s="80">
        <v>1.94</v>
      </c>
      <c r="N203" s="81">
        <f t="shared" si="6"/>
        <v>7.7000000000000002E-3</v>
      </c>
      <c r="P203" s="36">
        <f t="shared" si="7"/>
        <v>1.6239717261187592E-3</v>
      </c>
    </row>
    <row r="204" spans="13:16">
      <c r="M204" s="80">
        <v>1.95</v>
      </c>
      <c r="N204" s="81">
        <f t="shared" si="6"/>
        <v>7.7000000000000002E-3</v>
      </c>
      <c r="P204" s="36">
        <f t="shared" si="7"/>
        <v>1.6106673437869875E-3</v>
      </c>
    </row>
    <row r="205" spans="13:16">
      <c r="M205" s="80">
        <v>1.96</v>
      </c>
      <c r="N205" s="81">
        <f t="shared" si="6"/>
        <v>7.7000000000000002E-3</v>
      </c>
      <c r="P205" s="36">
        <f t="shared" si="7"/>
        <v>1.5975391776110993E-3</v>
      </c>
    </row>
    <row r="206" spans="13:16">
      <c r="M206" s="80">
        <v>1.97</v>
      </c>
      <c r="N206" s="81">
        <f t="shared" si="6"/>
        <v>7.7000000000000002E-3</v>
      </c>
      <c r="P206" s="36">
        <f t="shared" si="7"/>
        <v>1.5845840123129486E-3</v>
      </c>
    </row>
    <row r="207" spans="13:16">
      <c r="M207" s="80">
        <v>1.98</v>
      </c>
      <c r="N207" s="81">
        <f t="shared" si="6"/>
        <v>7.7000000000000002E-3</v>
      </c>
      <c r="P207" s="36">
        <f t="shared" si="7"/>
        <v>1.571798707199224E-3</v>
      </c>
    </row>
    <row r="208" spans="13:16">
      <c r="M208" s="80">
        <v>1.99</v>
      </c>
      <c r="N208" s="81">
        <f t="shared" si="6"/>
        <v>7.7000000000000002E-3</v>
      </c>
      <c r="P208" s="36">
        <f t="shared" si="7"/>
        <v>1.5591801940657559E-3</v>
      </c>
    </row>
    <row r="209" spans="13:16">
      <c r="M209" s="80">
        <v>2</v>
      </c>
      <c r="N209" s="81">
        <f t="shared" si="6"/>
        <v>7.7000000000000002E-3</v>
      </c>
      <c r="P209" s="36">
        <f t="shared" si="7"/>
        <v>1.546725475170881E-3</v>
      </c>
    </row>
    <row r="210" spans="13:16">
      <c r="M210" s="80">
        <v>2.0099999999999998</v>
      </c>
      <c r="N210" s="81">
        <f t="shared" si="6"/>
        <v>7.7000000000000002E-3</v>
      </c>
      <c r="P210" s="36">
        <f t="shared" si="7"/>
        <v>1.5344316212752469E-3</v>
      </c>
    </row>
    <row r="211" spans="13:16">
      <c r="M211" s="80">
        <v>2.02</v>
      </c>
      <c r="N211" s="81">
        <f t="shared" si="6"/>
        <v>7.7000000000000002E-3</v>
      </c>
      <c r="P211" s="36">
        <f t="shared" si="7"/>
        <v>1.5222957697455667E-3</v>
      </c>
    </row>
    <row r="212" spans="13:16">
      <c r="M212" s="80">
        <v>2.0299999999999998</v>
      </c>
      <c r="N212" s="81">
        <f t="shared" si="6"/>
        <v>7.7000000000000002E-3</v>
      </c>
      <c r="P212" s="36">
        <f t="shared" si="7"/>
        <v>1.5103151227199461E-3</v>
      </c>
    </row>
    <row r="213" spans="13:16">
      <c r="M213" s="80">
        <v>2.04</v>
      </c>
      <c r="N213" s="81">
        <f t="shared" si="6"/>
        <v>7.7000000000000002E-3</v>
      </c>
      <c r="P213" s="36">
        <f t="shared" si="7"/>
        <v>1.498486945332458E-3</v>
      </c>
    </row>
    <row r="214" spans="13:16">
      <c r="M214" s="80">
        <v>2.0499999999999998</v>
      </c>
      <c r="N214" s="81">
        <f t="shared" si="6"/>
        <v>7.7000000000000002E-3</v>
      </c>
      <c r="P214" s="36">
        <f t="shared" si="7"/>
        <v>1.4868085639948162E-3</v>
      </c>
    </row>
    <row r="215" spans="13:16">
      <c r="M215" s="80">
        <v>2.06</v>
      </c>
      <c r="N215" s="81">
        <f t="shared" si="6"/>
        <v>7.7000000000000002E-3</v>
      </c>
      <c r="P215" s="36">
        <f t="shared" si="7"/>
        <v>1.4752773647330058E-3</v>
      </c>
    </row>
    <row r="216" spans="13:16">
      <c r="M216" s="80">
        <v>2.0699999999999998</v>
      </c>
      <c r="N216" s="81">
        <f t="shared" si="6"/>
        <v>7.7000000000000002E-3</v>
      </c>
      <c r="P216" s="36">
        <f t="shared" si="7"/>
        <v>1.463890791576874E-3</v>
      </c>
    </row>
    <row r="217" spans="13:16">
      <c r="M217" s="80">
        <v>2.08</v>
      </c>
      <c r="N217" s="81">
        <f t="shared" si="6"/>
        <v>7.7000000000000002E-3</v>
      </c>
      <c r="P217" s="36">
        <f t="shared" si="7"/>
        <v>1.4526463450007549E-3</v>
      </c>
    </row>
    <row r="218" spans="13:16">
      <c r="M218" s="80">
        <v>2.09</v>
      </c>
      <c r="N218" s="81">
        <f t="shared" si="6"/>
        <v>7.7000000000000002E-3</v>
      </c>
      <c r="P218" s="36">
        <f t="shared" si="7"/>
        <v>1.4415415804132571E-3</v>
      </c>
    </row>
    <row r="219" spans="13:16">
      <c r="M219" s="80">
        <v>2.1</v>
      </c>
      <c r="N219" s="81">
        <f t="shared" si="6"/>
        <v>7.7000000000000002E-3</v>
      </c>
      <c r="P219" s="36">
        <f t="shared" si="7"/>
        <v>1.4305741066944497E-3</v>
      </c>
    </row>
    <row r="220" spans="13:16">
      <c r="M220" s="80">
        <v>2.11</v>
      </c>
      <c r="N220" s="81">
        <f t="shared" si="6"/>
        <v>7.7000000000000002E-3</v>
      </c>
      <c r="P220" s="36">
        <f t="shared" si="7"/>
        <v>1.4197415847787423E-3</v>
      </c>
    </row>
    <row r="221" spans="13:16">
      <c r="M221" s="80">
        <v>2.12</v>
      </c>
      <c r="N221" s="81">
        <f t="shared" si="6"/>
        <v>7.7000000000000002E-3</v>
      </c>
      <c r="P221" s="36">
        <f t="shared" si="7"/>
        <v>1.4090417262818168E-3</v>
      </c>
    </row>
    <row r="222" spans="13:16">
      <c r="M222" s="80">
        <v>2.13</v>
      </c>
      <c r="N222" s="81">
        <f t="shared" si="6"/>
        <v>7.7000000000000002E-3</v>
      </c>
      <c r="P222" s="36">
        <f t="shared" si="7"/>
        <v>1.3984722921700462E-3</v>
      </c>
    </row>
    <row r="223" spans="13:16">
      <c r="M223" s="80">
        <v>2.14</v>
      </c>
      <c r="N223" s="81">
        <f t="shared" si="6"/>
        <v>7.7000000000000002E-3</v>
      </c>
      <c r="P223" s="36">
        <f t="shared" si="7"/>
        <v>1.388031091470891E-3</v>
      </c>
    </row>
    <row r="224" spans="13:16">
      <c r="M224" s="80">
        <v>2.15</v>
      </c>
      <c r="N224" s="81">
        <f t="shared" si="6"/>
        <v>7.7000000000000002E-3</v>
      </c>
      <c r="P224" s="36">
        <f t="shared" si="7"/>
        <v>1.3777159800228301E-3</v>
      </c>
    </row>
    <row r="225" spans="13:16">
      <c r="M225" s="80">
        <v>2.16</v>
      </c>
      <c r="N225" s="81">
        <f t="shared" si="6"/>
        <v>7.7000000000000002E-3</v>
      </c>
      <c r="P225" s="36">
        <f t="shared" si="7"/>
        <v>1.3675248592634336E-3</v>
      </c>
    </row>
    <row r="226" spans="13:16">
      <c r="M226" s="80">
        <v>2.17</v>
      </c>
      <c r="N226" s="81">
        <f t="shared" si="6"/>
        <v>7.7000000000000002E-3</v>
      </c>
      <c r="P226" s="36">
        <f t="shared" si="7"/>
        <v>1.3574556750542434E-3</v>
      </c>
    </row>
    <row r="227" spans="13:16">
      <c r="M227" s="80">
        <v>2.1800000000000002</v>
      </c>
      <c r="N227" s="81">
        <f t="shared" si="6"/>
        <v>7.7000000000000002E-3</v>
      </c>
      <c r="P227" s="36">
        <f t="shared" si="7"/>
        <v>1.3475064165411855E-3</v>
      </c>
    </row>
    <row r="228" spans="13:16">
      <c r="M228" s="80">
        <v>2.19</v>
      </c>
      <c r="N228" s="81">
        <f t="shared" si="6"/>
        <v>7.7000000000000002E-3</v>
      </c>
      <c r="P228" s="36">
        <f t="shared" si="7"/>
        <v>1.3376751150492748E-3</v>
      </c>
    </row>
    <row r="229" spans="13:16">
      <c r="M229" s="80">
        <v>2.2000000000000002</v>
      </c>
      <c r="N229" s="81">
        <f t="shared" si="6"/>
        <v>7.7000000000000002E-3</v>
      </c>
      <c r="P229" s="36">
        <f t="shared" si="7"/>
        <v>1.3279598430104358E-3</v>
      </c>
    </row>
    <row r="230" spans="13:16">
      <c r="M230" s="80">
        <v>2.21</v>
      </c>
      <c r="N230" s="81">
        <f t="shared" si="6"/>
        <v>7.7000000000000002E-3</v>
      </c>
      <c r="P230" s="36">
        <f t="shared" si="7"/>
        <v>1.3183587129232969E-3</v>
      </c>
    </row>
    <row r="231" spans="13:16">
      <c r="M231" s="80">
        <v>2.2200000000000002</v>
      </c>
      <c r="N231" s="81">
        <f t="shared" si="6"/>
        <v>7.7000000000000002E-3</v>
      </c>
      <c r="P231" s="36">
        <f t="shared" si="7"/>
        <v>1.3088698763438745E-3</v>
      </c>
    </row>
    <row r="232" spans="13:16">
      <c r="M232" s="80">
        <v>2.23</v>
      </c>
      <c r="N232" s="81">
        <f t="shared" si="6"/>
        <v>7.7000000000000002E-3</v>
      </c>
      <c r="P232" s="36">
        <f t="shared" si="7"/>
        <v>1.2994915229060768E-3</v>
      </c>
    </row>
    <row r="233" spans="13:16">
      <c r="M233" s="80">
        <v>2.2400000000000002</v>
      </c>
      <c r="N233" s="81">
        <f t="shared" si="6"/>
        <v>7.7000000000000002E-3</v>
      </c>
      <c r="P233" s="36">
        <f t="shared" si="7"/>
        <v>1.290221879371043E-3</v>
      </c>
    </row>
    <row r="234" spans="13:16">
      <c r="M234" s="80">
        <v>2.25</v>
      </c>
      <c r="N234" s="81">
        <f t="shared" si="6"/>
        <v>7.7000000000000002E-3</v>
      </c>
      <c r="P234" s="36">
        <f t="shared" si="7"/>
        <v>1.2810592087043186E-3</v>
      </c>
    </row>
    <row r="235" spans="13:16">
      <c r="M235" s="80">
        <v>2.2599999999999998</v>
      </c>
      <c r="N235" s="81">
        <f t="shared" si="6"/>
        <v>7.7000000000000002E-3</v>
      </c>
      <c r="P235" s="36">
        <f t="shared" si="7"/>
        <v>1.2720018091799542E-3</v>
      </c>
    </row>
    <row r="236" spans="13:16">
      <c r="M236" s="80">
        <v>2.27</v>
      </c>
      <c r="N236" s="81">
        <f t="shared" si="6"/>
        <v>7.7000000000000002E-3</v>
      </c>
      <c r="P236" s="36">
        <f t="shared" si="7"/>
        <v>1.2630480135106107E-3</v>
      </c>
    </row>
    <row r="237" spans="13:16">
      <c r="M237" s="80">
        <v>2.2799999999999998</v>
      </c>
      <c r="N237" s="81">
        <f t="shared" si="6"/>
        <v>7.7000000000000002E-3</v>
      </c>
      <c r="P237" s="36">
        <f t="shared" si="7"/>
        <v>1.2541961880028199E-3</v>
      </c>
    </row>
    <row r="238" spans="13:16">
      <c r="M238" s="80">
        <v>2.29</v>
      </c>
      <c r="N238" s="81">
        <f t="shared" si="6"/>
        <v>7.7000000000000002E-3</v>
      </c>
      <c r="P238" s="36">
        <f t="shared" si="7"/>
        <v>1.2454447317365508E-3</v>
      </c>
    </row>
    <row r="239" spans="13:16">
      <c r="M239" s="80">
        <v>2.2999999999999998</v>
      </c>
      <c r="N239" s="81">
        <f t="shared" si="6"/>
        <v>7.7000000000000002E-3</v>
      </c>
      <c r="P239" s="36">
        <f t="shared" si="7"/>
        <v>1.2367920757682933E-3</v>
      </c>
    </row>
    <row r="240" spans="13:16">
      <c r="M240" s="80">
        <v>2.31</v>
      </c>
      <c r="N240" s="81">
        <f t="shared" si="6"/>
        <v>7.7000000000000002E-3</v>
      </c>
      <c r="P240" s="36">
        <f t="shared" si="7"/>
        <v>1.2282366823568821E-3</v>
      </c>
    </row>
    <row r="241" spans="13:16">
      <c r="M241" s="80">
        <v>2.3199999999999998</v>
      </c>
      <c r="N241" s="81">
        <f t="shared" si="6"/>
        <v>7.7000000000000002E-3</v>
      </c>
      <c r="P241" s="36">
        <f t="shared" si="7"/>
        <v>1.2197770442113115E-3</v>
      </c>
    </row>
    <row r="242" spans="13:16">
      <c r="M242" s="80">
        <v>2.33</v>
      </c>
      <c r="N242" s="81">
        <f t="shared" si="6"/>
        <v>7.7000000000000002E-3</v>
      </c>
      <c r="P242" s="36">
        <f t="shared" si="7"/>
        <v>1.2114116837598317E-3</v>
      </c>
    </row>
    <row r="243" spans="13:16">
      <c r="M243" s="80">
        <v>2.34</v>
      </c>
      <c r="N243" s="81">
        <f t="shared" si="6"/>
        <v>7.7000000000000002E-3</v>
      </c>
      <c r="P243" s="36">
        <f t="shared" si="7"/>
        <v>1.2031391524396364E-3</v>
      </c>
    </row>
    <row r="244" spans="13:16">
      <c r="M244" s="80">
        <v>2.35</v>
      </c>
      <c r="N244" s="81">
        <f t="shared" si="6"/>
        <v>7.7000000000000002E-3</v>
      </c>
      <c r="P244" s="36">
        <f t="shared" si="7"/>
        <v>1.1949580300064685E-3</v>
      </c>
    </row>
    <row r="245" spans="13:16">
      <c r="M245" s="80">
        <v>2.36</v>
      </c>
      <c r="N245" s="81">
        <f t="shared" si="6"/>
        <v>7.7000000000000002E-3</v>
      </c>
      <c r="P245" s="36">
        <f t="shared" si="7"/>
        <v>1.1868669238635128E-3</v>
      </c>
    </row>
    <row r="246" spans="13:16">
      <c r="M246" s="80">
        <v>2.37</v>
      </c>
      <c r="N246" s="81">
        <f t="shared" si="6"/>
        <v>7.7000000000000002E-3</v>
      </c>
      <c r="P246" s="36">
        <f t="shared" si="7"/>
        <v>1.1788644684089533E-3</v>
      </c>
    </row>
    <row r="247" spans="13:16">
      <c r="M247" s="80">
        <v>2.38</v>
      </c>
      <c r="N247" s="81">
        <f t="shared" si="6"/>
        <v>7.7000000000000002E-3</v>
      </c>
      <c r="P247" s="36">
        <f t="shared" si="7"/>
        <v>1.1709493244015988E-3</v>
      </c>
    </row>
    <row r="248" spans="13:16">
      <c r="M248" s="80">
        <v>2.39</v>
      </c>
      <c r="N248" s="81">
        <f t="shared" si="6"/>
        <v>7.7000000000000002E-3</v>
      </c>
      <c r="P248" s="36">
        <f t="shared" si="7"/>
        <v>1.1631201783440072E-3</v>
      </c>
    </row>
    <row r="249" spans="13:16">
      <c r="M249" s="80">
        <v>2.4</v>
      </c>
      <c r="N249" s="81">
        <f t="shared" si="6"/>
        <v>7.7000000000000002E-3</v>
      </c>
      <c r="P249" s="36">
        <f t="shared" si="7"/>
        <v>1.1553757418825512E-3</v>
      </c>
    </row>
    <row r="250" spans="13:16">
      <c r="M250" s="80">
        <v>2.41</v>
      </c>
      <c r="N250" s="81">
        <f t="shared" si="6"/>
        <v>7.7000000000000002E-3</v>
      </c>
      <c r="P250" s="36">
        <f t="shared" si="7"/>
        <v>1.1477147512238923E-3</v>
      </c>
    </row>
    <row r="251" spans="13:16">
      <c r="M251" s="80">
        <v>2.42</v>
      </c>
      <c r="N251" s="81">
        <f t="shared" si="6"/>
        <v>7.7000000000000002E-3</v>
      </c>
      <c r="P251" s="36">
        <f t="shared" si="7"/>
        <v>1.1401359665673524E-3</v>
      </c>
    </row>
    <row r="252" spans="13:16">
      <c r="M252" s="80">
        <v>2.4300000000000002</v>
      </c>
      <c r="N252" s="81">
        <f t="shared" si="6"/>
        <v>7.7000000000000002E-3</v>
      </c>
      <c r="P252" s="36">
        <f t="shared" si="7"/>
        <v>1.1326381715526812E-3</v>
      </c>
    </row>
    <row r="253" spans="13:16">
      <c r="M253" s="80">
        <v>2.44</v>
      </c>
      <c r="N253" s="81">
        <f t="shared" si="6"/>
        <v>7.7000000000000002E-3</v>
      </c>
      <c r="P253" s="36">
        <f t="shared" si="7"/>
        <v>1.1252201727227392E-3</v>
      </c>
    </row>
    <row r="254" spans="13:16">
      <c r="M254" s="80">
        <v>2.4500000000000002</v>
      </c>
      <c r="N254" s="81">
        <f t="shared" si="6"/>
        <v>7.7000000000000002E-3</v>
      </c>
      <c r="P254" s="36">
        <f t="shared" si="7"/>
        <v>1.1178807990006464E-3</v>
      </c>
    </row>
    <row r="255" spans="13:16">
      <c r="M255" s="80">
        <v>2.46</v>
      </c>
      <c r="N255" s="81">
        <f t="shared" si="6"/>
        <v>7.7000000000000002E-3</v>
      </c>
      <c r="P255" s="36">
        <f t="shared" si="7"/>
        <v>1.1106189011809338E-3</v>
      </c>
    </row>
    <row r="256" spans="13:16">
      <c r="M256" s="80">
        <v>2.4700000000000002</v>
      </c>
      <c r="N256" s="81">
        <f t="shared" si="6"/>
        <v>7.7000000000000002E-3</v>
      </c>
      <c r="P256" s="36">
        <f t="shared" si="7"/>
        <v>1.1034333514342751E-3</v>
      </c>
    </row>
    <row r="257" spans="13:16">
      <c r="M257" s="80">
        <v>2.48</v>
      </c>
      <c r="N257" s="81">
        <f t="shared" si="6"/>
        <v>7.7000000000000002E-3</v>
      </c>
      <c r="P257" s="36">
        <f t="shared" si="7"/>
        <v>1.0963230428253914E-3</v>
      </c>
    </row>
    <row r="258" spans="13:16">
      <c r="M258" s="80">
        <v>2.4900000000000002</v>
      </c>
      <c r="N258" s="81">
        <f t="shared" si="6"/>
        <v>7.7000000000000002E-3</v>
      </c>
      <c r="P258" s="36">
        <f t="shared" si="7"/>
        <v>1.0892868888437075E-3</v>
      </c>
    </row>
    <row r="259" spans="13:16">
      <c r="M259" s="80">
        <v>2.5</v>
      </c>
      <c r="N259" s="81">
        <f t="shared" si="6"/>
        <v>7.7000000000000002E-3</v>
      </c>
      <c r="P259" s="36">
        <f t="shared" si="7"/>
        <v>1.0823238229463916E-3</v>
      </c>
    </row>
    <row r="260" spans="13:16">
      <c r="M260" s="80">
        <v>2.5099999999999998</v>
      </c>
      <c r="N260" s="81">
        <f t="shared" si="6"/>
        <v>7.7000000000000002E-3</v>
      </c>
      <c r="P260" s="36">
        <f t="shared" si="7"/>
        <v>1.075432798113394E-3</v>
      </c>
    </row>
    <row r="261" spans="13:16">
      <c r="M261" s="80">
        <v>2.52</v>
      </c>
      <c r="N261" s="81">
        <f t="shared" si="6"/>
        <v>7.7000000000000002E-3</v>
      </c>
      <c r="P261" s="36">
        <f t="shared" si="7"/>
        <v>1.0686127864141253E-3</v>
      </c>
    </row>
    <row r="262" spans="13:16">
      <c r="M262" s="80">
        <v>2.5299999999999998</v>
      </c>
      <c r="N262" s="81">
        <f t="shared" si="6"/>
        <v>7.7000000000000002E-3</v>
      </c>
      <c r="P262" s="36">
        <f t="shared" si="7"/>
        <v>1.0618627785854253E-3</v>
      </c>
    </row>
    <row r="263" spans="13:16">
      <c r="M263" s="80">
        <v>2.54</v>
      </c>
      <c r="N263" s="81">
        <f t="shared" si="6"/>
        <v>7.7000000000000002E-3</v>
      </c>
      <c r="P263" s="36">
        <f t="shared" si="7"/>
        <v>1.0551817836204854E-3</v>
      </c>
    </row>
    <row r="264" spans="13:16">
      <c r="M264" s="80">
        <v>2.5499999999999998</v>
      </c>
      <c r="N264" s="81">
        <f t="shared" si="6"/>
        <v>7.7000000000000002E-3</v>
      </c>
      <c r="P264" s="36">
        <f t="shared" si="7"/>
        <v>1.048568828368399E-3</v>
      </c>
    </row>
    <row r="265" spans="13:16">
      <c r="M265" s="80">
        <v>2.56</v>
      </c>
      <c r="N265" s="81">
        <f t="shared" si="6"/>
        <v>7.7000000000000002E-3</v>
      </c>
      <c r="P265" s="36">
        <f t="shared" si="7"/>
        <v>1.0420229571440215E-3</v>
      </c>
    </row>
    <row r="266" spans="13:16">
      <c r="M266" s="80">
        <v>2.57</v>
      </c>
      <c r="N266" s="81">
        <f t="shared" ref="N266:N329" si="8">ROUND(IF(P266&lt;$J$6,$J$6,P266),5)</f>
        <v>7.7000000000000002E-3</v>
      </c>
      <c r="P266" s="36">
        <f t="shared" ref="P266:P329" si="9">IF(M266&lt;$F$6,$C$6*$D$6*(2/3+(M266/$F$6)*(2.5/$E$6-2/3)),IF(M266&lt;$G$6,$C$6*$D$6*(2.5/$E$6),IF(M266&lt;$H$6,$C$6*$D$6*(2.5/$E$6)*(($G$6/M266)^$I$6),$C$6*$D$6*(2.5/$E$6)*($G$6*$H$6/M266^2)^$I$6)))</f>
        <v>1.0355432313478396E-3</v>
      </c>
    </row>
    <row r="267" spans="13:16">
      <c r="M267" s="80">
        <v>2.58</v>
      </c>
      <c r="N267" s="81">
        <f t="shared" si="8"/>
        <v>7.7000000000000002E-3</v>
      </c>
      <c r="P267" s="36">
        <f t="shared" si="9"/>
        <v>1.0291287290955518E-3</v>
      </c>
    </row>
    <row r="268" spans="13:16">
      <c r="M268" s="80">
        <v>2.59</v>
      </c>
      <c r="N268" s="81">
        <f t="shared" si="8"/>
        <v>7.7000000000000002E-3</v>
      </c>
      <c r="P268" s="36">
        <f t="shared" si="9"/>
        <v>1.0227785448570811E-3</v>
      </c>
    </row>
    <row r="269" spans="13:16">
      <c r="M269" s="80">
        <v>2.6</v>
      </c>
      <c r="N269" s="81">
        <f t="shared" si="8"/>
        <v>7.7000000000000002E-3</v>
      </c>
      <c r="P269" s="36">
        <f t="shared" si="9"/>
        <v>1.0164917891047349E-3</v>
      </c>
    </row>
    <row r="270" spans="13:16">
      <c r="M270" s="80">
        <v>2.61</v>
      </c>
      <c r="N270" s="81">
        <f t="shared" si="8"/>
        <v>7.7000000000000002E-3</v>
      </c>
      <c r="P270" s="36">
        <f t="shared" si="9"/>
        <v>1.0102675879702565E-3</v>
      </c>
    </row>
    <row r="271" spans="13:16">
      <c r="M271" s="80">
        <v>2.62</v>
      </c>
      <c r="N271" s="81">
        <f t="shared" si="8"/>
        <v>7.7000000000000002E-3</v>
      </c>
      <c r="P271" s="36">
        <f t="shared" si="9"/>
        <v>1.0041050829105033E-3</v>
      </c>
    </row>
    <row r="272" spans="13:16">
      <c r="M272" s="80">
        <v>2.63</v>
      </c>
      <c r="N272" s="81">
        <f t="shared" si="8"/>
        <v>7.7000000000000002E-3</v>
      </c>
      <c r="P272" s="36">
        <f t="shared" si="9"/>
        <v>9.9800343038150574E-4</v>
      </c>
    </row>
    <row r="273" spans="13:16">
      <c r="M273" s="80">
        <v>2.64</v>
      </c>
      <c r="N273" s="81">
        <f t="shared" si="8"/>
        <v>7.7000000000000002E-3</v>
      </c>
      <c r="P273" s="36">
        <f t="shared" si="9"/>
        <v>9.919618015206673E-4</v>
      </c>
    </row>
    <row r="274" spans="13:16">
      <c r="M274" s="80">
        <v>2.65</v>
      </c>
      <c r="N274" s="81">
        <f t="shared" si="8"/>
        <v>7.7000000000000002E-3</v>
      </c>
      <c r="P274" s="36">
        <f t="shared" si="9"/>
        <v>9.859793818368667E-4</v>
      </c>
    </row>
    <row r="275" spans="13:16">
      <c r="M275" s="80">
        <v>2.66</v>
      </c>
      <c r="N275" s="81">
        <f t="shared" si="8"/>
        <v>7.7000000000000002E-3</v>
      </c>
      <c r="P275" s="36">
        <f t="shared" si="9"/>
        <v>9.8005537090824343E-4</v>
      </c>
    </row>
    <row r="276" spans="13:16">
      <c r="M276" s="80">
        <v>2.67</v>
      </c>
      <c r="N276" s="81">
        <f t="shared" si="8"/>
        <v>7.7000000000000002E-3</v>
      </c>
      <c r="P276" s="36">
        <f t="shared" si="9"/>
        <v>9.7418898208744605E-4</v>
      </c>
    </row>
    <row r="277" spans="13:16">
      <c r="M277" s="80">
        <v>2.68</v>
      </c>
      <c r="N277" s="81">
        <f t="shared" si="8"/>
        <v>7.7000000000000002E-3</v>
      </c>
      <c r="P277" s="36">
        <f t="shared" si="9"/>
        <v>9.6837944221412817E-4</v>
      </c>
    </row>
    <row r="278" spans="13:16">
      <c r="M278" s="80">
        <v>2.69</v>
      </c>
      <c r="N278" s="81">
        <f t="shared" si="8"/>
        <v>7.7000000000000002E-3</v>
      </c>
      <c r="P278" s="36">
        <f t="shared" si="9"/>
        <v>9.6262599133449295E-4</v>
      </c>
    </row>
    <row r="279" spans="13:16">
      <c r="M279" s="80">
        <v>2.7</v>
      </c>
      <c r="N279" s="81">
        <f t="shared" si="8"/>
        <v>7.7000000000000002E-3</v>
      </c>
      <c r="P279" s="36">
        <f t="shared" si="9"/>
        <v>9.5692788242768463E-4</v>
      </c>
    </row>
    <row r="280" spans="13:16">
      <c r="M280" s="80">
        <v>2.71</v>
      </c>
      <c r="N280" s="81">
        <f t="shared" si="8"/>
        <v>7.7000000000000002E-3</v>
      </c>
      <c r="P280" s="36">
        <f t="shared" si="9"/>
        <v>9.512843811388356E-4</v>
      </c>
    </row>
    <row r="281" spans="13:16">
      <c r="M281" s="80">
        <v>2.72</v>
      </c>
      <c r="N281" s="81">
        <f t="shared" si="8"/>
        <v>7.7000000000000002E-3</v>
      </c>
      <c r="P281" s="36">
        <f t="shared" si="9"/>
        <v>9.4569476551858598E-4</v>
      </c>
    </row>
    <row r="282" spans="13:16">
      <c r="M282" s="80">
        <v>2.73</v>
      </c>
      <c r="N282" s="81">
        <f t="shared" si="8"/>
        <v>7.7000000000000002E-3</v>
      </c>
      <c r="P282" s="36">
        <f t="shared" si="9"/>
        <v>9.4015832576889143E-4</v>
      </c>
    </row>
    <row r="283" spans="13:16">
      <c r="M283" s="80">
        <v>2.74</v>
      </c>
      <c r="N283" s="81">
        <f t="shared" si="8"/>
        <v>7.7000000000000002E-3</v>
      </c>
      <c r="P283" s="36">
        <f t="shared" si="9"/>
        <v>9.3467436399494663E-4</v>
      </c>
    </row>
    <row r="284" spans="13:16">
      <c r="M284" s="80">
        <v>2.75</v>
      </c>
      <c r="N284" s="81">
        <f t="shared" si="8"/>
        <v>7.7000000000000002E-3</v>
      </c>
      <c r="P284" s="36">
        <f t="shared" si="9"/>
        <v>9.2924219396305888E-4</v>
      </c>
    </row>
    <row r="285" spans="13:16">
      <c r="M285" s="80">
        <v>2.76</v>
      </c>
      <c r="N285" s="81">
        <f t="shared" si="8"/>
        <v>7.7000000000000002E-3</v>
      </c>
      <c r="P285" s="36">
        <f t="shared" si="9"/>
        <v>9.238611408643034E-4</v>
      </c>
    </row>
    <row r="286" spans="13:16">
      <c r="M286" s="80">
        <v>2.77</v>
      </c>
      <c r="N286" s="81">
        <f t="shared" si="8"/>
        <v>7.7000000000000002E-3</v>
      </c>
      <c r="P286" s="36">
        <f t="shared" si="9"/>
        <v>9.185305410838035E-4</v>
      </c>
    </row>
    <row r="287" spans="13:16">
      <c r="M287" s="80">
        <v>2.78</v>
      </c>
      <c r="N287" s="81">
        <f t="shared" si="8"/>
        <v>7.7000000000000002E-3</v>
      </c>
      <c r="P287" s="36">
        <f t="shared" si="9"/>
        <v>9.1324974197548386E-4</v>
      </c>
    </row>
    <row r="288" spans="13:16">
      <c r="M288" s="80">
        <v>2.79</v>
      </c>
      <c r="N288" s="81">
        <f t="shared" si="8"/>
        <v>7.7000000000000002E-3</v>
      </c>
      <c r="P288" s="36">
        <f t="shared" si="9"/>
        <v>9.0801810164214416E-4</v>
      </c>
    </row>
    <row r="289" spans="13:16">
      <c r="M289" s="80">
        <v>2.8</v>
      </c>
      <c r="N289" s="81">
        <f t="shared" si="8"/>
        <v>7.7000000000000002E-3</v>
      </c>
      <c r="P289" s="36">
        <f t="shared" si="9"/>
        <v>9.0283498872071525E-4</v>
      </c>
    </row>
    <row r="290" spans="13:16">
      <c r="M290" s="80">
        <v>2.81</v>
      </c>
      <c r="N290" s="81">
        <f t="shared" si="8"/>
        <v>7.7000000000000002E-3</v>
      </c>
      <c r="P290" s="36">
        <f t="shared" si="9"/>
        <v>8.9769978217254848E-4</v>
      </c>
    </row>
    <row r="291" spans="13:16">
      <c r="M291" s="80">
        <v>2.82</v>
      </c>
      <c r="N291" s="81">
        <f t="shared" si="8"/>
        <v>7.7000000000000002E-3</v>
      </c>
      <c r="P291" s="36">
        <f t="shared" si="9"/>
        <v>8.9261187107861166E-4</v>
      </c>
    </row>
    <row r="292" spans="13:16">
      <c r="M292" s="80">
        <v>2.83</v>
      </c>
      <c r="N292" s="81">
        <f t="shared" si="8"/>
        <v>7.7000000000000002E-3</v>
      </c>
      <c r="P292" s="36">
        <f t="shared" si="9"/>
        <v>8.8757065443945474E-4</v>
      </c>
    </row>
    <row r="293" spans="13:16">
      <c r="M293" s="80">
        <v>2.84</v>
      </c>
      <c r="N293" s="81">
        <f t="shared" si="8"/>
        <v>7.7000000000000002E-3</v>
      </c>
      <c r="P293" s="36">
        <f t="shared" si="9"/>
        <v>8.8257554097981967E-4</v>
      </c>
    </row>
    <row r="294" spans="13:16">
      <c r="M294" s="80">
        <v>2.85</v>
      </c>
      <c r="N294" s="81">
        <f t="shared" si="8"/>
        <v>7.7000000000000002E-3</v>
      </c>
      <c r="P294" s="36">
        <f t="shared" si="9"/>
        <v>8.7762594895777069E-4</v>
      </c>
    </row>
    <row r="295" spans="13:16">
      <c r="M295" s="80">
        <v>2.86</v>
      </c>
      <c r="N295" s="81">
        <f t="shared" si="8"/>
        <v>7.7000000000000002E-3</v>
      </c>
      <c r="P295" s="36">
        <f t="shared" si="9"/>
        <v>8.7272130597822401E-4</v>
      </c>
    </row>
    <row r="296" spans="13:16">
      <c r="M296" s="80">
        <v>2.87</v>
      </c>
      <c r="N296" s="81">
        <f t="shared" si="8"/>
        <v>7.7000000000000002E-3</v>
      </c>
      <c r="P296" s="36">
        <f t="shared" si="9"/>
        <v>8.6786104881076103E-4</v>
      </c>
    </row>
    <row r="297" spans="13:16">
      <c r="M297" s="80">
        <v>2.88</v>
      </c>
      <c r="N297" s="81">
        <f t="shared" si="8"/>
        <v>7.7000000000000002E-3</v>
      </c>
      <c r="P297" s="36">
        <f t="shared" si="9"/>
        <v>8.6304462321161143E-4</v>
      </c>
    </row>
    <row r="298" spans="13:16">
      <c r="M298" s="80">
        <v>2.89</v>
      </c>
      <c r="N298" s="81">
        <f t="shared" si="8"/>
        <v>7.7000000000000002E-3</v>
      </c>
      <c r="P298" s="36">
        <f t="shared" si="9"/>
        <v>8.5827148374970411E-4</v>
      </c>
    </row>
    <row r="299" spans="13:16">
      <c r="M299" s="80">
        <v>2.9</v>
      </c>
      <c r="N299" s="81">
        <f t="shared" si="8"/>
        <v>7.7000000000000002E-3</v>
      </c>
      <c r="P299" s="36">
        <f t="shared" si="9"/>
        <v>8.5354109363665982E-4</v>
      </c>
    </row>
    <row r="300" spans="13:16">
      <c r="M300" s="80">
        <v>2.91</v>
      </c>
      <c r="N300" s="81">
        <f t="shared" si="8"/>
        <v>7.7000000000000002E-3</v>
      </c>
      <c r="P300" s="36">
        <f t="shared" si="9"/>
        <v>8.4885292456064764E-4</v>
      </c>
    </row>
    <row r="301" spans="13:16">
      <c r="M301" s="80">
        <v>2.92</v>
      </c>
      <c r="N301" s="81">
        <f t="shared" si="8"/>
        <v>7.7000000000000002E-3</v>
      </c>
      <c r="P301" s="36">
        <f t="shared" si="9"/>
        <v>8.4420645652398985E-4</v>
      </c>
    </row>
    <row r="302" spans="13:16">
      <c r="M302" s="80">
        <v>2.93</v>
      </c>
      <c r="N302" s="81">
        <f t="shared" si="8"/>
        <v>7.7000000000000002E-3</v>
      </c>
      <c r="P302" s="36">
        <f t="shared" si="9"/>
        <v>8.3960117768441529E-4</v>
      </c>
    </row>
    <row r="303" spans="13:16">
      <c r="M303" s="80">
        <v>2.94</v>
      </c>
      <c r="N303" s="81">
        <f t="shared" si="8"/>
        <v>7.7000000000000002E-3</v>
      </c>
      <c r="P303" s="36">
        <f t="shared" si="9"/>
        <v>8.3503658419988144E-4</v>
      </c>
    </row>
    <row r="304" spans="13:16">
      <c r="M304" s="80">
        <v>2.95</v>
      </c>
      <c r="N304" s="81">
        <f t="shared" si="8"/>
        <v>7.7000000000000002E-3</v>
      </c>
      <c r="P304" s="36">
        <f t="shared" si="9"/>
        <v>8.3051218007685723E-4</v>
      </c>
    </row>
    <row r="305" spans="13:16">
      <c r="M305" s="80">
        <v>2.96</v>
      </c>
      <c r="N305" s="81">
        <f t="shared" si="8"/>
        <v>7.7000000000000002E-3</v>
      </c>
      <c r="P305" s="36">
        <f t="shared" si="9"/>
        <v>8.2602747702199169E-4</v>
      </c>
    </row>
    <row r="306" spans="13:16">
      <c r="M306" s="80">
        <v>2.97</v>
      </c>
      <c r="N306" s="81">
        <f t="shared" si="8"/>
        <v>7.7000000000000002E-3</v>
      </c>
      <c r="P306" s="36">
        <f t="shared" si="9"/>
        <v>8.2158199429707007E-4</v>
      </c>
    </row>
    <row r="307" spans="13:16">
      <c r="M307" s="80">
        <v>2.98</v>
      </c>
      <c r="N307" s="81">
        <f t="shared" si="8"/>
        <v>7.7000000000000002E-3</v>
      </c>
      <c r="P307" s="36">
        <f t="shared" si="9"/>
        <v>8.1717525857718295E-4</v>
      </c>
    </row>
    <row r="308" spans="13:16">
      <c r="M308" s="80">
        <v>2.99</v>
      </c>
      <c r="N308" s="81">
        <f t="shared" si="8"/>
        <v>7.7000000000000002E-3</v>
      </c>
      <c r="P308" s="36">
        <f t="shared" si="9"/>
        <v>8.1280680381201999E-4</v>
      </c>
    </row>
    <row r="309" spans="13:16">
      <c r="M309" s="80">
        <v>3</v>
      </c>
      <c r="N309" s="81">
        <f t="shared" si="8"/>
        <v>7.7000000000000002E-3</v>
      </c>
      <c r="P309" s="36">
        <f t="shared" si="9"/>
        <v>8.0847617109021397E-4</v>
      </c>
    </row>
    <row r="310" spans="13:16">
      <c r="M310" s="80">
        <v>3.01</v>
      </c>
      <c r="N310" s="81">
        <f t="shared" si="8"/>
        <v>7.7000000000000002E-3</v>
      </c>
      <c r="P310" s="36">
        <f t="shared" si="9"/>
        <v>8.0418290850665713E-4</v>
      </c>
    </row>
    <row r="311" spans="13:16">
      <c r="M311" s="80">
        <v>3.02</v>
      </c>
      <c r="N311" s="81">
        <f t="shared" si="8"/>
        <v>7.7000000000000002E-3</v>
      </c>
      <c r="P311" s="36">
        <f t="shared" si="9"/>
        <v>7.9992657103271261E-4</v>
      </c>
    </row>
    <row r="312" spans="13:16">
      <c r="M312" s="80">
        <v>3.03</v>
      </c>
      <c r="N312" s="81">
        <f t="shared" si="8"/>
        <v>7.7000000000000002E-3</v>
      </c>
      <c r="P312" s="36">
        <f t="shared" si="9"/>
        <v>7.9570672038924975E-4</v>
      </c>
    </row>
    <row r="313" spans="13:16">
      <c r="M313" s="80">
        <v>3.04</v>
      </c>
      <c r="N313" s="81">
        <f t="shared" si="8"/>
        <v>7.7000000000000002E-3</v>
      </c>
      <c r="P313" s="36">
        <f t="shared" si="9"/>
        <v>7.9152292492243477E-4</v>
      </c>
    </row>
    <row r="314" spans="13:16">
      <c r="M314" s="80">
        <v>3.05</v>
      </c>
      <c r="N314" s="81">
        <f t="shared" si="8"/>
        <v>7.7000000000000002E-3</v>
      </c>
      <c r="P314" s="36">
        <f t="shared" si="9"/>
        <v>7.8737475948220692E-4</v>
      </c>
    </row>
    <row r="315" spans="13:16">
      <c r="M315" s="80">
        <v>3.06</v>
      </c>
      <c r="N315" s="81">
        <f t="shared" si="8"/>
        <v>7.7000000000000002E-3</v>
      </c>
      <c r="P315" s="36">
        <f t="shared" si="9"/>
        <v>7.8326180530336961E-4</v>
      </c>
    </row>
    <row r="316" spans="13:16">
      <c r="M316" s="80">
        <v>3.07</v>
      </c>
      <c r="N316" s="81">
        <f t="shared" si="8"/>
        <v>7.7000000000000002E-3</v>
      </c>
      <c r="P316" s="36">
        <f t="shared" si="9"/>
        <v>7.7918364988924086E-4</v>
      </c>
    </row>
    <row r="317" spans="13:16">
      <c r="M317" s="80">
        <v>3.08</v>
      </c>
      <c r="N317" s="81">
        <f t="shared" si="8"/>
        <v>7.7000000000000002E-3</v>
      </c>
      <c r="P317" s="36">
        <f t="shared" si="9"/>
        <v>7.7513988689779131E-4</v>
      </c>
    </row>
    <row r="318" spans="13:16">
      <c r="M318" s="80">
        <v>3.09</v>
      </c>
      <c r="N318" s="81">
        <f t="shared" si="8"/>
        <v>7.7000000000000002E-3</v>
      </c>
      <c r="P318" s="36">
        <f t="shared" si="9"/>
        <v>7.7113011603020874E-4</v>
      </c>
    </row>
    <row r="319" spans="13:16">
      <c r="M319" s="80">
        <v>3.1</v>
      </c>
      <c r="N319" s="81">
        <f t="shared" si="8"/>
        <v>7.7000000000000002E-3</v>
      </c>
      <c r="P319" s="36">
        <f t="shared" si="9"/>
        <v>7.6715394292183991E-4</v>
      </c>
    </row>
    <row r="320" spans="13:16">
      <c r="M320" s="80">
        <v>3.11</v>
      </c>
      <c r="N320" s="81">
        <f t="shared" si="8"/>
        <v>7.7000000000000002E-3</v>
      </c>
      <c r="P320" s="36">
        <f t="shared" si="9"/>
        <v>7.6321097903544067E-4</v>
      </c>
    </row>
    <row r="321" spans="13:16">
      <c r="M321" s="80">
        <v>3.12</v>
      </c>
      <c r="N321" s="81">
        <f t="shared" si="8"/>
        <v>7.7000000000000002E-3</v>
      </c>
      <c r="P321" s="36">
        <f t="shared" si="9"/>
        <v>7.5930084155667881E-4</v>
      </c>
    </row>
    <row r="322" spans="13:16">
      <c r="M322" s="80">
        <v>3.13</v>
      </c>
      <c r="N322" s="81">
        <f t="shared" si="8"/>
        <v>7.7000000000000002E-3</v>
      </c>
      <c r="P322" s="36">
        <f t="shared" si="9"/>
        <v>7.5542315329184717E-4</v>
      </c>
    </row>
    <row r="323" spans="13:16">
      <c r="M323" s="80">
        <v>3.14</v>
      </c>
      <c r="N323" s="81">
        <f t="shared" si="8"/>
        <v>7.7000000000000002E-3</v>
      </c>
      <c r="P323" s="36">
        <f t="shared" si="9"/>
        <v>7.5157754256771213E-4</v>
      </c>
    </row>
    <row r="324" spans="13:16">
      <c r="M324" s="80">
        <v>3.15</v>
      </c>
      <c r="N324" s="81">
        <f t="shared" si="8"/>
        <v>7.7000000000000002E-3</v>
      </c>
      <c r="P324" s="36">
        <f t="shared" si="9"/>
        <v>7.4776364313347381E-4</v>
      </c>
    </row>
    <row r="325" spans="13:16">
      <c r="M325" s="80">
        <v>3.16</v>
      </c>
      <c r="N325" s="81">
        <f t="shared" si="8"/>
        <v>7.7000000000000002E-3</v>
      </c>
      <c r="P325" s="36">
        <f t="shared" si="9"/>
        <v>7.4398109406475686E-4</v>
      </c>
    </row>
    <row r="326" spans="13:16">
      <c r="M326" s="80">
        <v>3.17</v>
      </c>
      <c r="N326" s="81">
        <f t="shared" si="8"/>
        <v>7.7000000000000002E-3</v>
      </c>
      <c r="P326" s="36">
        <f t="shared" si="9"/>
        <v>7.4022953966960915E-4</v>
      </c>
    </row>
    <row r="327" spans="13:16">
      <c r="M327" s="80">
        <v>3.18</v>
      </c>
      <c r="N327" s="81">
        <f t="shared" si="8"/>
        <v>7.7000000000000002E-3</v>
      </c>
      <c r="P327" s="36">
        <f t="shared" si="9"/>
        <v>7.3650862939644325E-4</v>
      </c>
    </row>
    <row r="328" spans="13:16">
      <c r="M328" s="80">
        <v>3.19</v>
      </c>
      <c r="N328" s="81">
        <f t="shared" si="8"/>
        <v>7.7000000000000002E-3</v>
      </c>
      <c r="P328" s="36">
        <f t="shared" si="9"/>
        <v>7.3281801774388545E-4</v>
      </c>
    </row>
    <row r="329" spans="13:16">
      <c r="M329" s="80">
        <v>3.2</v>
      </c>
      <c r="N329" s="81">
        <f t="shared" si="8"/>
        <v>7.7000000000000002E-3</v>
      </c>
      <c r="P329" s="36">
        <f t="shared" si="9"/>
        <v>7.2915736417247649E-4</v>
      </c>
    </row>
    <row r="330" spans="13:16">
      <c r="M330" s="80">
        <v>3.21</v>
      </c>
      <c r="N330" s="81">
        <f t="shared" ref="N330:N393" si="10">ROUND(IF(P330&lt;$J$6,$J$6,P330),5)</f>
        <v>7.7000000000000002E-3</v>
      </c>
      <c r="P330" s="36">
        <f t="shared" ref="P330:P393" si="11">IF(M330&lt;$F$6,$C$6*$D$6*(2/3+(M330/$F$6)*(2.5/$E$6-2/3)),IF(M330&lt;$G$6,$C$6*$D$6*(2.5/$E$6),IF(M330&lt;$H$6,$C$6*$D$6*(2.5/$E$6)*(($G$6/M330)^$I$6),$C$6*$D$6*(2.5/$E$6)*($G$6*$H$6/M330^2)^$I$6)))</f>
        <v>7.2552633301819602E-4</v>
      </c>
    </row>
    <row r="331" spans="13:16">
      <c r="M331" s="80">
        <v>3.22</v>
      </c>
      <c r="N331" s="81">
        <f t="shared" si="10"/>
        <v>7.7000000000000002E-3</v>
      </c>
      <c r="P331" s="36">
        <f t="shared" si="11"/>
        <v>7.2192459340774317E-4</v>
      </c>
    </row>
    <row r="332" spans="13:16">
      <c r="M332" s="80">
        <v>3.23</v>
      </c>
      <c r="N332" s="81">
        <f t="shared" si="10"/>
        <v>7.7000000000000002E-3</v>
      </c>
      <c r="P332" s="36">
        <f t="shared" si="11"/>
        <v>7.1835181917556288E-4</v>
      </c>
    </row>
    <row r="333" spans="13:16">
      <c r="M333" s="80">
        <v>3.24</v>
      </c>
      <c r="N333" s="81">
        <f t="shared" si="10"/>
        <v>7.7000000000000002E-3</v>
      </c>
      <c r="P333" s="36">
        <f t="shared" si="11"/>
        <v>7.1480768878254676E-4</v>
      </c>
    </row>
    <row r="334" spans="13:16">
      <c r="M334" s="80">
        <v>3.25</v>
      </c>
      <c r="N334" s="81">
        <f t="shared" si="10"/>
        <v>7.7000000000000002E-3</v>
      </c>
      <c r="P334" s="36">
        <f t="shared" si="11"/>
        <v>7.1129188523639457E-4</v>
      </c>
    </row>
    <row r="335" spans="13:16">
      <c r="M335" s="80">
        <v>3.26</v>
      </c>
      <c r="N335" s="81">
        <f t="shared" si="10"/>
        <v>7.7000000000000002E-3</v>
      </c>
      <c r="P335" s="36">
        <f t="shared" si="11"/>
        <v>7.0780409601357711E-4</v>
      </c>
    </row>
    <row r="336" spans="13:16">
      <c r="M336" s="80">
        <v>3.27</v>
      </c>
      <c r="N336" s="81">
        <f t="shared" si="10"/>
        <v>7.7000000000000002E-3</v>
      </c>
      <c r="P336" s="36">
        <f t="shared" si="11"/>
        <v>7.0434401298288146E-4</v>
      </c>
    </row>
    <row r="337" spans="13:16">
      <c r="M337" s="80">
        <v>3.28</v>
      </c>
      <c r="N337" s="81">
        <f t="shared" si="10"/>
        <v>7.7000000000000002E-3</v>
      </c>
      <c r="P337" s="36">
        <f t="shared" si="11"/>
        <v>7.0091133233048564E-4</v>
      </c>
    </row>
    <row r="338" spans="13:16">
      <c r="M338" s="80">
        <v>3.29</v>
      </c>
      <c r="N338" s="81">
        <f t="shared" si="10"/>
        <v>7.7000000000000002E-3</v>
      </c>
      <c r="P338" s="36">
        <f t="shared" si="11"/>
        <v>6.9750575448654037E-4</v>
      </c>
    </row>
    <row r="339" spans="13:16">
      <c r="M339" s="80">
        <v>3.3</v>
      </c>
      <c r="N339" s="81">
        <f t="shared" si="10"/>
        <v>7.7000000000000002E-3</v>
      </c>
      <c r="P339" s="36">
        <f t="shared" si="11"/>
        <v>6.9412698405321455E-4</v>
      </c>
    </row>
    <row r="340" spans="13:16">
      <c r="M340" s="80">
        <v>3.31</v>
      </c>
      <c r="N340" s="81">
        <f t="shared" si="10"/>
        <v>7.7000000000000002E-3</v>
      </c>
      <c r="P340" s="36">
        <f t="shared" si="11"/>
        <v>6.9077472973417522E-4</v>
      </c>
    </row>
    <row r="341" spans="13:16">
      <c r="M341" s="80">
        <v>3.32</v>
      </c>
      <c r="N341" s="81">
        <f t="shared" si="10"/>
        <v>7.7000000000000002E-3</v>
      </c>
      <c r="P341" s="36">
        <f t="shared" si="11"/>
        <v>6.8744870426546995E-4</v>
      </c>
    </row>
    <row r="342" spans="13:16">
      <c r="M342" s="80">
        <v>3.33</v>
      </c>
      <c r="N342" s="81">
        <f t="shared" si="10"/>
        <v>7.7000000000000002E-3</v>
      </c>
      <c r="P342" s="36">
        <f t="shared" si="11"/>
        <v>6.8414862434777507E-4</v>
      </c>
    </row>
    <row r="343" spans="13:16">
      <c r="M343" s="80">
        <v>3.34</v>
      </c>
      <c r="N343" s="81">
        <f t="shared" si="10"/>
        <v>7.7000000000000002E-3</v>
      </c>
      <c r="P343" s="36">
        <f t="shared" si="11"/>
        <v>6.8087421057998275E-4</v>
      </c>
    </row>
    <row r="344" spans="13:16">
      <c r="M344" s="80">
        <v>3.35</v>
      </c>
      <c r="N344" s="81">
        <f t="shared" si="10"/>
        <v>7.7000000000000002E-3</v>
      </c>
      <c r="P344" s="36">
        <f t="shared" si="11"/>
        <v>6.7762518739409509E-4</v>
      </c>
    </row>
    <row r="345" spans="13:16">
      <c r="M345" s="80">
        <v>3.36</v>
      </c>
      <c r="N345" s="81">
        <f t="shared" si="10"/>
        <v>7.7000000000000002E-3</v>
      </c>
      <c r="P345" s="36">
        <f t="shared" si="11"/>
        <v>6.7440128299139728E-4</v>
      </c>
    </row>
    <row r="346" spans="13:16">
      <c r="M346" s="80">
        <v>3.37</v>
      </c>
      <c r="N346" s="81">
        <f t="shared" si="10"/>
        <v>7.7000000000000002E-3</v>
      </c>
      <c r="P346" s="36">
        <f t="shared" si="11"/>
        <v>6.7120222927987653E-4</v>
      </c>
    </row>
    <row r="347" spans="13:16">
      <c r="M347" s="80">
        <v>3.38</v>
      </c>
      <c r="N347" s="81">
        <f t="shared" si="10"/>
        <v>7.7000000000000002E-3</v>
      </c>
      <c r="P347" s="36">
        <f t="shared" si="11"/>
        <v>6.6802776181286558E-4</v>
      </c>
    </row>
    <row r="348" spans="13:16">
      <c r="M348" s="80">
        <v>3.39</v>
      </c>
      <c r="N348" s="81">
        <f t="shared" si="10"/>
        <v>7.7000000000000002E-3</v>
      </c>
      <c r="P348" s="36">
        <f t="shared" si="11"/>
        <v>6.6487761972887816E-4</v>
      </c>
    </row>
    <row r="349" spans="13:16">
      <c r="M349" s="80">
        <v>3.4</v>
      </c>
      <c r="N349" s="81">
        <f t="shared" si="10"/>
        <v>7.7000000000000002E-3</v>
      </c>
      <c r="P349" s="36">
        <f t="shared" si="11"/>
        <v>6.6175154569261038E-4</v>
      </c>
    </row>
    <row r="350" spans="13:16">
      <c r="M350" s="80">
        <v>3.41</v>
      </c>
      <c r="N350" s="81">
        <f t="shared" si="10"/>
        <v>7.7000000000000002E-3</v>
      </c>
      <c r="P350" s="36">
        <f t="shared" si="11"/>
        <v>6.586492858370826E-4</v>
      </c>
    </row>
    <row r="351" spans="13:16">
      <c r="M351" s="80">
        <v>3.42</v>
      </c>
      <c r="N351" s="81">
        <f t="shared" si="10"/>
        <v>7.7000000000000002E-3</v>
      </c>
      <c r="P351" s="36">
        <f t="shared" si="11"/>
        <v>6.5557058970690154E-4</v>
      </c>
    </row>
    <row r="352" spans="13:16">
      <c r="M352" s="80">
        <v>3.43</v>
      </c>
      <c r="N352" s="81">
        <f t="shared" si="10"/>
        <v>7.7000000000000002E-3</v>
      </c>
      <c r="P352" s="36">
        <f t="shared" si="11"/>
        <v>6.5251521020260575E-4</v>
      </c>
    </row>
    <row r="353" spans="13:16">
      <c r="M353" s="80">
        <v>3.44</v>
      </c>
      <c r="N353" s="81">
        <f t="shared" si="10"/>
        <v>7.7000000000000002E-3</v>
      </c>
      <c r="P353" s="36">
        <f t="shared" si="11"/>
        <v>6.4948290352608528E-4</v>
      </c>
    </row>
    <row r="354" spans="13:16">
      <c r="M354" s="80">
        <v>3.45</v>
      </c>
      <c r="N354" s="81">
        <f t="shared" si="10"/>
        <v>7.7000000000000002E-3</v>
      </c>
      <c r="P354" s="36">
        <f t="shared" si="11"/>
        <v>6.4647342912703854E-4</v>
      </c>
    </row>
    <row r="355" spans="13:16">
      <c r="M355" s="80">
        <v>3.46</v>
      </c>
      <c r="N355" s="81">
        <f t="shared" si="10"/>
        <v>7.7000000000000002E-3</v>
      </c>
      <c r="P355" s="36">
        <f t="shared" si="11"/>
        <v>6.4348654965045468E-4</v>
      </c>
    </row>
    <row r="356" spans="13:16">
      <c r="M356" s="80">
        <v>3.47</v>
      </c>
      <c r="N356" s="81">
        <f t="shared" si="10"/>
        <v>7.7000000000000002E-3</v>
      </c>
      <c r="P356" s="36">
        <f t="shared" si="11"/>
        <v>6.4052203088508966E-4</v>
      </c>
    </row>
    <row r="357" spans="13:16">
      <c r="M357" s="80">
        <v>3.48</v>
      </c>
      <c r="N357" s="81">
        <f t="shared" si="10"/>
        <v>7.7000000000000002E-3</v>
      </c>
      <c r="P357" s="36">
        <f t="shared" si="11"/>
        <v>6.3757964171292172E-4</v>
      </c>
    </row>
    <row r="358" spans="13:16">
      <c r="M358" s="80">
        <v>3.49</v>
      </c>
      <c r="N358" s="81">
        <f t="shared" si="10"/>
        <v>7.7000000000000002E-3</v>
      </c>
      <c r="P358" s="36">
        <f t="shared" si="11"/>
        <v>6.3465915405956131E-4</v>
      </c>
    </row>
    <row r="359" spans="13:16">
      <c r="M359" s="80">
        <v>3.5</v>
      </c>
      <c r="N359" s="81">
        <f t="shared" si="10"/>
        <v>7.7000000000000002E-3</v>
      </c>
      <c r="P359" s="36">
        <f t="shared" si="11"/>
        <v>6.3176034284559163E-4</v>
      </c>
    </row>
    <row r="360" spans="13:16">
      <c r="M360" s="80">
        <v>3.51</v>
      </c>
      <c r="N360" s="81">
        <f t="shared" si="10"/>
        <v>7.7000000000000002E-3</v>
      </c>
      <c r="P360" s="36">
        <f t="shared" si="11"/>
        <v>6.2888298593883187E-4</v>
      </c>
    </row>
    <row r="361" spans="13:16">
      <c r="M361" s="80">
        <v>3.52</v>
      </c>
      <c r="N361" s="81">
        <f t="shared" si="10"/>
        <v>7.7000000000000002E-3</v>
      </c>
      <c r="P361" s="36">
        <f t="shared" si="11"/>
        <v>6.2602686410748436E-4</v>
      </c>
    </row>
    <row r="362" spans="13:16">
      <c r="M362" s="80">
        <v>3.53</v>
      </c>
      <c r="N362" s="81">
        <f t="shared" si="10"/>
        <v>7.7000000000000002E-3</v>
      </c>
      <c r="P362" s="36">
        <f t="shared" si="11"/>
        <v>6.2319176097416459E-4</v>
      </c>
    </row>
    <row r="363" spans="13:16">
      <c r="M363" s="80">
        <v>3.54</v>
      </c>
      <c r="N363" s="81">
        <f t="shared" si="10"/>
        <v>7.7000000000000002E-3</v>
      </c>
      <c r="P363" s="36">
        <f t="shared" si="11"/>
        <v>6.2037746297078495E-4</v>
      </c>
    </row>
    <row r="364" spans="13:16">
      <c r="M364" s="80">
        <v>3.55</v>
      </c>
      <c r="N364" s="81">
        <f t="shared" si="10"/>
        <v>7.7000000000000002E-3</v>
      </c>
      <c r="P364" s="36">
        <f t="shared" si="11"/>
        <v>6.1758375929427589E-4</v>
      </c>
    </row>
    <row r="365" spans="13:16">
      <c r="M365" s="80">
        <v>3.56</v>
      </c>
      <c r="N365" s="81">
        <f t="shared" si="10"/>
        <v>7.7000000000000002E-3</v>
      </c>
      <c r="P365" s="36">
        <f t="shared" si="11"/>
        <v>6.1481044186312815E-4</v>
      </c>
    </row>
    <row r="366" spans="13:16">
      <c r="M366" s="80">
        <v>3.57</v>
      </c>
      <c r="N366" s="81">
        <f t="shared" si="10"/>
        <v>7.7000000000000002E-3</v>
      </c>
      <c r="P366" s="36">
        <f t="shared" si="11"/>
        <v>6.1205730527473729E-4</v>
      </c>
    </row>
    <row r="367" spans="13:16">
      <c r="M367" s="80">
        <v>3.58</v>
      </c>
      <c r="N367" s="81">
        <f t="shared" si="10"/>
        <v>7.7000000000000002E-3</v>
      </c>
      <c r="P367" s="36">
        <f t="shared" si="11"/>
        <v>6.0932414676353574E-4</v>
      </c>
    </row>
    <row r="368" spans="13:16">
      <c r="M368" s="80">
        <v>3.59</v>
      </c>
      <c r="N368" s="81">
        <f t="shared" si="10"/>
        <v>7.7000000000000002E-3</v>
      </c>
      <c r="P368" s="36">
        <f t="shared" si="11"/>
        <v>6.0661076615988992E-4</v>
      </c>
    </row>
    <row r="369" spans="13:16">
      <c r="M369" s="80">
        <v>3.6</v>
      </c>
      <c r="N369" s="81">
        <f t="shared" si="10"/>
        <v>7.7000000000000002E-3</v>
      </c>
      <c r="P369" s="36">
        <f t="shared" si="11"/>
        <v>6.0391696584975534E-4</v>
      </c>
    </row>
    <row r="370" spans="13:16">
      <c r="M370" s="80">
        <v>3.61</v>
      </c>
      <c r="N370" s="81">
        <f t="shared" si="10"/>
        <v>7.7000000000000002E-3</v>
      </c>
      <c r="P370" s="36">
        <f t="shared" si="11"/>
        <v>6.0124255073506442E-4</v>
      </c>
    </row>
    <row r="371" spans="13:16">
      <c r="M371" s="80">
        <v>3.62</v>
      </c>
      <c r="N371" s="81">
        <f t="shared" si="10"/>
        <v>7.7000000000000002E-3</v>
      </c>
      <c r="P371" s="36">
        <f t="shared" si="11"/>
        <v>5.9858732819483766E-4</v>
      </c>
    </row>
    <row r="372" spans="13:16">
      <c r="M372" s="80">
        <v>3.63</v>
      </c>
      <c r="N372" s="81">
        <f t="shared" si="10"/>
        <v>7.7000000000000002E-3</v>
      </c>
      <c r="P372" s="36">
        <f t="shared" si="11"/>
        <v>5.9595110804700271E-4</v>
      </c>
    </row>
    <row r="373" spans="13:16">
      <c r="M373" s="80">
        <v>3.64</v>
      </c>
      <c r="N373" s="81">
        <f t="shared" si="10"/>
        <v>7.7000000000000002E-3</v>
      </c>
      <c r="P373" s="36">
        <f t="shared" si="11"/>
        <v>5.9333370251090202E-4</v>
      </c>
    </row>
    <row r="374" spans="13:16">
      <c r="M374" s="80">
        <v>3.65</v>
      </c>
      <c r="N374" s="81">
        <f t="shared" si="10"/>
        <v>7.7000000000000002E-3</v>
      </c>
      <c r="P374" s="36">
        <f t="shared" si="11"/>
        <v>5.9073492617048036E-4</v>
      </c>
    </row>
    <row r="375" spans="13:16">
      <c r="M375" s="80">
        <v>3.66</v>
      </c>
      <c r="N375" s="81">
        <f t="shared" si="10"/>
        <v>7.7000000000000002E-3</v>
      </c>
      <c r="P375" s="36">
        <f t="shared" si="11"/>
        <v>5.881545959381348E-4</v>
      </c>
    </row>
    <row r="376" spans="13:16">
      <c r="M376" s="80">
        <v>3.67</v>
      </c>
      <c r="N376" s="81">
        <f t="shared" si="10"/>
        <v>7.7000000000000002E-3</v>
      </c>
      <c r="P376" s="36">
        <f t="shared" si="11"/>
        <v>5.8559253101921494E-4</v>
      </c>
    </row>
    <row r="377" spans="13:16">
      <c r="M377" s="80">
        <v>3.68</v>
      </c>
      <c r="N377" s="81">
        <f t="shared" si="10"/>
        <v>7.7000000000000002E-3</v>
      </c>
      <c r="P377" s="36">
        <f t="shared" si="11"/>
        <v>5.83048552877157E-4</v>
      </c>
    </row>
    <row r="378" spans="13:16">
      <c r="M378" s="80">
        <v>3.69</v>
      </c>
      <c r="N378" s="81">
        <f t="shared" si="10"/>
        <v>7.7000000000000002E-3</v>
      </c>
      <c r="P378" s="36">
        <f t="shared" si="11"/>
        <v>5.8052248519924415E-4</v>
      </c>
    </row>
    <row r="379" spans="13:16">
      <c r="M379" s="80">
        <v>3.7</v>
      </c>
      <c r="N379" s="81">
        <f t="shared" si="10"/>
        <v>7.7000000000000002E-3</v>
      </c>
      <c r="P379" s="36">
        <f t="shared" si="11"/>
        <v>5.7801415386297473E-4</v>
      </c>
    </row>
    <row r="380" spans="13:16">
      <c r="M380" s="80">
        <v>3.71</v>
      </c>
      <c r="N380" s="81">
        <f t="shared" si="10"/>
        <v>7.7000000000000002E-3</v>
      </c>
      <c r="P380" s="36">
        <f t="shared" si="11"/>
        <v>5.7552338690303097E-4</v>
      </c>
    </row>
    <row r="381" spans="13:16">
      <c r="M381" s="80">
        <v>3.72</v>
      </c>
      <c r="N381" s="81">
        <f t="shared" si="10"/>
        <v>7.7000000000000002E-3</v>
      </c>
      <c r="P381" s="36">
        <f t="shared" si="11"/>
        <v>5.730500144788275E-4</v>
      </c>
    </row>
    <row r="382" spans="13:16">
      <c r="M382" s="80">
        <v>3.73</v>
      </c>
      <c r="N382" s="81">
        <f t="shared" si="10"/>
        <v>7.7000000000000002E-3</v>
      </c>
      <c r="P382" s="36">
        <f t="shared" si="11"/>
        <v>5.7059386884264344E-4</v>
      </c>
    </row>
    <row r="383" spans="13:16">
      <c r="M383" s="80">
        <v>3.74</v>
      </c>
      <c r="N383" s="81">
        <f t="shared" si="10"/>
        <v>7.7000000000000002E-3</v>
      </c>
      <c r="P383" s="36">
        <f t="shared" si="11"/>
        <v>5.6815478430830436E-4</v>
      </c>
    </row>
    <row r="384" spans="13:16">
      <c r="M384" s="80">
        <v>3.75</v>
      </c>
      <c r="N384" s="81">
        <f t="shared" si="10"/>
        <v>7.7000000000000002E-3</v>
      </c>
      <c r="P384" s="36">
        <f t="shared" si="11"/>
        <v>5.6573259722042686E-4</v>
      </c>
    </row>
    <row r="385" spans="13:16">
      <c r="M385" s="80">
        <v>3.76</v>
      </c>
      <c r="N385" s="81">
        <f t="shared" si="10"/>
        <v>7.7000000000000002E-3</v>
      </c>
      <c r="P385" s="36">
        <f t="shared" si="11"/>
        <v>5.6332714592419197E-4</v>
      </c>
    </row>
    <row r="386" spans="13:16">
      <c r="M386" s="80">
        <v>3.77</v>
      </c>
      <c r="N386" s="81">
        <f t="shared" si="10"/>
        <v>7.7000000000000002E-3</v>
      </c>
      <c r="P386" s="36">
        <f t="shared" si="11"/>
        <v>5.6093827073565609E-4</v>
      </c>
    </row>
    <row r="387" spans="13:16">
      <c r="M387" s="80">
        <v>3.78</v>
      </c>
      <c r="N387" s="81">
        <f t="shared" si="10"/>
        <v>7.7000000000000002E-3</v>
      </c>
      <c r="P387" s="36">
        <f t="shared" si="11"/>
        <v>5.585658139125744E-4</v>
      </c>
    </row>
    <row r="388" spans="13:16">
      <c r="M388" s="80">
        <v>3.79</v>
      </c>
      <c r="N388" s="81">
        <f t="shared" si="10"/>
        <v>7.7000000000000002E-3</v>
      </c>
      <c r="P388" s="36">
        <f t="shared" si="11"/>
        <v>5.5620961962573267E-4</v>
      </c>
    </row>
    <row r="389" spans="13:16">
      <c r="M389" s="80">
        <v>3.8</v>
      </c>
      <c r="N389" s="81">
        <f t="shared" si="10"/>
        <v>7.7000000000000002E-3</v>
      </c>
      <c r="P389" s="36">
        <f t="shared" si="11"/>
        <v>5.5386953393077949E-4</v>
      </c>
    </row>
    <row r="390" spans="13:16">
      <c r="M390" s="80">
        <v>3.81</v>
      </c>
      <c r="N390" s="81">
        <f t="shared" si="10"/>
        <v>7.7000000000000002E-3</v>
      </c>
      <c r="P390" s="36">
        <f t="shared" si="11"/>
        <v>5.5154540474054313E-4</v>
      </c>
    </row>
    <row r="391" spans="13:16">
      <c r="M391" s="80">
        <v>3.82</v>
      </c>
      <c r="N391" s="81">
        <f t="shared" si="10"/>
        <v>7.7000000000000002E-3</v>
      </c>
      <c r="P391" s="36">
        <f t="shared" si="11"/>
        <v>5.4923708179782725E-4</v>
      </c>
    </row>
    <row r="392" spans="13:16">
      <c r="M392" s="80">
        <v>3.83</v>
      </c>
      <c r="N392" s="81">
        <f t="shared" si="10"/>
        <v>7.7000000000000002E-3</v>
      </c>
      <c r="P392" s="36">
        <f t="shared" si="11"/>
        <v>5.4694441664867536E-4</v>
      </c>
    </row>
    <row r="393" spans="13:16">
      <c r="M393" s="80">
        <v>3.84</v>
      </c>
      <c r="N393" s="81">
        <f t="shared" si="10"/>
        <v>7.7000000000000002E-3</v>
      </c>
      <c r="P393" s="36">
        <f t="shared" si="11"/>
        <v>5.4466726261609378E-4</v>
      </c>
    </row>
    <row r="394" spans="13:16">
      <c r="M394" s="80">
        <v>3.85</v>
      </c>
      <c r="N394" s="81">
        <f t="shared" ref="N394:N409" si="12">ROUND(IF(P394&lt;$J$6,$J$6,P394),5)</f>
        <v>7.7000000000000002E-3</v>
      </c>
      <c r="P394" s="36">
        <f t="shared" ref="P394:P409" si="13">IF(M394&lt;$F$6,$C$6*$D$6*(2/3+(M394/$F$6)*(2.5/$E$6-2/3)),IF(M394&lt;$G$6,$C$6*$D$6*(2.5/$E$6),IF(M394&lt;$H$6,$C$6*$D$6*(2.5/$E$6)*(($G$6/M394)^$I$6),$C$6*$D$6*(2.5/$E$6)*($G$6*$H$6/M394^2)^$I$6)))</f>
        <v>5.424054747742254E-4</v>
      </c>
    </row>
    <row r="395" spans="13:16">
      <c r="M395" s="80">
        <v>3.86</v>
      </c>
      <c r="N395" s="81">
        <f t="shared" si="12"/>
        <v>7.7000000000000002E-3</v>
      </c>
      <c r="P395" s="36">
        <f t="shared" si="13"/>
        <v>5.4015890992296413E-4</v>
      </c>
    </row>
    <row r="396" spans="13:16">
      <c r="M396" s="80">
        <v>3.87</v>
      </c>
      <c r="N396" s="81">
        <f t="shared" si="12"/>
        <v>7.7000000000000002E-3</v>
      </c>
      <c r="P396" s="36">
        <f t="shared" si="13"/>
        <v>5.379274265630028E-4</v>
      </c>
    </row>
    <row r="397" spans="13:16">
      <c r="M397" s="80">
        <v>3.88</v>
      </c>
      <c r="N397" s="81">
        <f t="shared" si="12"/>
        <v>7.7000000000000002E-3</v>
      </c>
      <c r="P397" s="36">
        <f t="shared" si="13"/>
        <v>5.3571088487130373E-4</v>
      </c>
    </row>
    <row r="398" spans="13:16">
      <c r="M398" s="80">
        <v>3.89</v>
      </c>
      <c r="N398" s="81">
        <f t="shared" si="12"/>
        <v>7.7000000000000002E-3</v>
      </c>
      <c r="P398" s="36">
        <f t="shared" si="13"/>
        <v>5.3350914667698679E-4</v>
      </c>
    </row>
    <row r="399" spans="13:16">
      <c r="M399" s="80">
        <v>3.9</v>
      </c>
      <c r="N399" s="81">
        <f t="shared" si="12"/>
        <v>7.7000000000000002E-3</v>
      </c>
      <c r="P399" s="36">
        <f t="shared" si="13"/>
        <v>5.3132207543762357E-4</v>
      </c>
    </row>
    <row r="400" spans="13:16">
      <c r="M400" s="80">
        <v>3.91</v>
      </c>
      <c r="N400" s="81">
        <f t="shared" si="12"/>
        <v>7.7000000000000002E-3</v>
      </c>
      <c r="P400" s="36">
        <f t="shared" si="13"/>
        <v>5.2914953621593279E-4</v>
      </c>
    </row>
    <row r="401" spans="13:16">
      <c r="M401" s="80">
        <v>3.92</v>
      </c>
      <c r="N401" s="81">
        <f t="shared" si="12"/>
        <v>7.7000000000000002E-3</v>
      </c>
      <c r="P401" s="36">
        <f t="shared" si="13"/>
        <v>5.2699139565686728E-4</v>
      </c>
    </row>
    <row r="402" spans="13:16">
      <c r="M402" s="80">
        <v>3.93</v>
      </c>
      <c r="N402" s="81">
        <f t="shared" si="12"/>
        <v>7.7000000000000002E-3</v>
      </c>
      <c r="P402" s="36">
        <f t="shared" si="13"/>
        <v>5.2484752196508481E-4</v>
      </c>
    </row>
    <row r="403" spans="13:16">
      <c r="M403" s="80">
        <v>3.94</v>
      </c>
      <c r="N403" s="81">
        <f t="shared" si="12"/>
        <v>7.7000000000000002E-3</v>
      </c>
      <c r="P403" s="36">
        <f t="shared" si="13"/>
        <v>5.2271778488279712E-4</v>
      </c>
    </row>
    <row r="404" spans="13:16">
      <c r="M404" s="80">
        <v>3.95</v>
      </c>
      <c r="N404" s="81">
        <f t="shared" si="12"/>
        <v>7.7000000000000002E-3</v>
      </c>
      <c r="P404" s="36">
        <f t="shared" si="13"/>
        <v>5.2060205566798834E-4</v>
      </c>
    </row>
    <row r="405" spans="13:16">
      <c r="M405" s="80">
        <v>3.96</v>
      </c>
      <c r="N405" s="81">
        <f t="shared" si="12"/>
        <v>7.7000000000000002E-3</v>
      </c>
      <c r="P405" s="36">
        <f t="shared" si="13"/>
        <v>5.1850020707299598E-4</v>
      </c>
    </row>
    <row r="406" spans="13:16">
      <c r="M406" s="80">
        <v>3.97</v>
      </c>
      <c r="N406" s="81">
        <f t="shared" si="12"/>
        <v>7.7000000000000002E-3</v>
      </c>
      <c r="P406" s="36">
        <f t="shared" si="13"/>
        <v>5.1641211332344693E-4</v>
      </c>
    </row>
    <row r="407" spans="13:16">
      <c r="M407" s="80">
        <v>3.98</v>
      </c>
      <c r="N407" s="81">
        <f t="shared" si="12"/>
        <v>7.7000000000000002E-3</v>
      </c>
      <c r="P407" s="36">
        <f t="shared" si="13"/>
        <v>5.1433765009754537E-4</v>
      </c>
    </row>
    <row r="408" spans="13:16">
      <c r="M408" s="80">
        <v>3.99</v>
      </c>
      <c r="N408" s="81">
        <f t="shared" si="12"/>
        <v>7.7000000000000002E-3</v>
      </c>
      <c r="P408" s="36">
        <f t="shared" si="13"/>
        <v>5.1227669450569903E-4</v>
      </c>
    </row>
    <row r="409" spans="13:16">
      <c r="M409" s="80">
        <v>4</v>
      </c>
      <c r="N409" s="81">
        <f t="shared" si="12"/>
        <v>7.7000000000000002E-3</v>
      </c>
      <c r="P409" s="36">
        <f t="shared" si="13"/>
        <v>5.1022912507048528E-4</v>
      </c>
    </row>
    <row r="410" spans="13:16">
      <c r="M410" s="38"/>
      <c r="N410" s="39"/>
    </row>
    <row r="411" spans="13:16">
      <c r="M411" s="38"/>
      <c r="N411" s="39"/>
    </row>
    <row r="412" spans="13:16">
      <c r="M412" s="38"/>
      <c r="N412" s="39"/>
    </row>
    <row r="413" spans="13:16">
      <c r="M413" s="38"/>
      <c r="N413" s="39"/>
    </row>
    <row r="414" spans="13:16">
      <c r="M414" s="38"/>
      <c r="N414" s="39"/>
    </row>
    <row r="415" spans="13:16">
      <c r="M415" s="38"/>
      <c r="N415" s="39"/>
    </row>
    <row r="416" spans="13:16">
      <c r="M416" s="38"/>
      <c r="N416" s="39"/>
    </row>
    <row r="417" spans="13:14">
      <c r="M417" s="38"/>
      <c r="N417" s="39"/>
    </row>
    <row r="418" spans="13:14">
      <c r="M418" s="38"/>
      <c r="N418" s="39"/>
    </row>
    <row r="419" spans="13:14">
      <c r="M419" s="38"/>
      <c r="N419" s="39"/>
    </row>
    <row r="420" spans="13:14">
      <c r="M420" s="38"/>
      <c r="N420" s="39"/>
    </row>
    <row r="421" spans="13:14">
      <c r="M421" s="38"/>
      <c r="N421" s="39"/>
    </row>
    <row r="422" spans="13:14">
      <c r="M422" s="38"/>
      <c r="N422" s="39"/>
    </row>
    <row r="423" spans="13:14">
      <c r="M423" s="38"/>
      <c r="N423" s="39"/>
    </row>
    <row r="424" spans="13:14">
      <c r="M424" s="38"/>
      <c r="N424" s="39"/>
    </row>
    <row r="425" spans="13:14">
      <c r="M425" s="38"/>
      <c r="N425" s="39"/>
    </row>
    <row r="426" spans="13:14">
      <c r="M426" s="38"/>
      <c r="N426" s="39"/>
    </row>
    <row r="427" spans="13:14">
      <c r="M427" s="38"/>
      <c r="N427" s="39"/>
    </row>
    <row r="428" spans="13:14">
      <c r="M428" s="38"/>
      <c r="N428" s="39"/>
    </row>
    <row r="429" spans="13:14">
      <c r="M429" s="38"/>
      <c r="N429" s="39"/>
    </row>
    <row r="430" spans="13:14">
      <c r="M430" s="38"/>
      <c r="N430" s="39"/>
    </row>
    <row r="431" spans="13:14">
      <c r="M431" s="38"/>
      <c r="N431" s="39"/>
    </row>
    <row r="432" spans="13:14">
      <c r="M432" s="38"/>
      <c r="N432" s="39"/>
    </row>
    <row r="433" spans="13:14">
      <c r="M433" s="38"/>
      <c r="N433" s="39"/>
    </row>
    <row r="434" spans="13:14">
      <c r="M434" s="38"/>
      <c r="N434" s="39"/>
    </row>
    <row r="435" spans="13:14">
      <c r="M435" s="38"/>
      <c r="N435" s="39"/>
    </row>
    <row r="436" spans="13:14">
      <c r="M436" s="38"/>
      <c r="N436" s="39"/>
    </row>
    <row r="437" spans="13:14">
      <c r="M437" s="38"/>
      <c r="N437" s="39"/>
    </row>
    <row r="438" spans="13:14">
      <c r="M438" s="38"/>
      <c r="N438" s="39"/>
    </row>
    <row r="439" spans="13:14">
      <c r="M439" s="38"/>
      <c r="N439" s="39"/>
    </row>
    <row r="440" spans="13:14">
      <c r="M440" s="38"/>
      <c r="N440" s="39"/>
    </row>
    <row r="441" spans="13:14">
      <c r="M441" s="38"/>
      <c r="N441" s="39"/>
    </row>
    <row r="442" spans="13:14">
      <c r="M442" s="38"/>
      <c r="N442" s="39"/>
    </row>
    <row r="443" spans="13:14">
      <c r="M443" s="38"/>
      <c r="N443" s="39"/>
    </row>
    <row r="444" spans="13:14">
      <c r="M444" s="38"/>
      <c r="N444" s="39"/>
    </row>
    <row r="445" spans="13:14">
      <c r="M445" s="38"/>
      <c r="N445" s="39"/>
    </row>
    <row r="446" spans="13:14">
      <c r="M446" s="38"/>
      <c r="N446" s="39"/>
    </row>
    <row r="447" spans="13:14">
      <c r="M447" s="38"/>
      <c r="N447" s="39"/>
    </row>
    <row r="448" spans="13:14">
      <c r="M448" s="38"/>
      <c r="N448" s="39"/>
    </row>
    <row r="449" spans="13:14">
      <c r="M449" s="38"/>
      <c r="N449" s="39"/>
    </row>
    <row r="450" spans="13:14">
      <c r="M450" s="38"/>
      <c r="N450" s="39"/>
    </row>
    <row r="451" spans="13:14">
      <c r="M451" s="38"/>
      <c r="N451" s="39"/>
    </row>
    <row r="452" spans="13:14">
      <c r="M452" s="38"/>
      <c r="N452" s="39"/>
    </row>
    <row r="453" spans="13:14">
      <c r="M453" s="38"/>
      <c r="N453" s="39"/>
    </row>
    <row r="454" spans="13:14">
      <c r="M454" s="38"/>
      <c r="N454" s="39"/>
    </row>
    <row r="455" spans="13:14">
      <c r="M455" s="38"/>
      <c r="N455" s="39"/>
    </row>
    <row r="456" spans="13:14">
      <c r="M456" s="38"/>
      <c r="N456" s="39"/>
    </row>
    <row r="457" spans="13:14">
      <c r="M457" s="38"/>
      <c r="N457" s="39"/>
    </row>
    <row r="458" spans="13:14">
      <c r="M458" s="38"/>
      <c r="N458" s="39"/>
    </row>
    <row r="459" spans="13:14">
      <c r="M459" s="38"/>
      <c r="N459" s="39"/>
    </row>
    <row r="460" spans="13:14">
      <c r="M460" s="38"/>
      <c r="N460" s="39"/>
    </row>
    <row r="461" spans="13:14">
      <c r="M461" s="38"/>
      <c r="N461" s="39"/>
    </row>
    <row r="462" spans="13:14">
      <c r="M462" s="38"/>
      <c r="N462" s="39"/>
    </row>
    <row r="463" spans="13:14">
      <c r="M463" s="38"/>
      <c r="N463" s="39"/>
    </row>
    <row r="464" spans="13:14">
      <c r="M464" s="38"/>
      <c r="N464" s="39"/>
    </row>
    <row r="465" spans="13:14">
      <c r="M465" s="38"/>
      <c r="N465" s="39"/>
    </row>
    <row r="466" spans="13:14">
      <c r="M466" s="38"/>
      <c r="N466" s="39"/>
    </row>
    <row r="467" spans="13:14">
      <c r="M467" s="38"/>
      <c r="N467" s="39"/>
    </row>
    <row r="468" spans="13:14">
      <c r="M468" s="38"/>
      <c r="N468" s="39"/>
    </row>
    <row r="469" spans="13:14">
      <c r="M469" s="38"/>
      <c r="N469" s="39"/>
    </row>
    <row r="470" spans="13:14">
      <c r="M470" s="38"/>
      <c r="N470" s="39"/>
    </row>
    <row r="471" spans="13:14">
      <c r="M471" s="38"/>
      <c r="N471" s="39"/>
    </row>
    <row r="472" spans="13:14">
      <c r="M472" s="38"/>
      <c r="N472" s="39"/>
    </row>
    <row r="473" spans="13:14">
      <c r="M473" s="38"/>
      <c r="N473" s="39"/>
    </row>
    <row r="474" spans="13:14">
      <c r="M474" s="38"/>
      <c r="N474" s="39"/>
    </row>
    <row r="475" spans="13:14">
      <c r="M475" s="38"/>
      <c r="N475" s="39"/>
    </row>
    <row r="476" spans="13:14">
      <c r="M476" s="38"/>
      <c r="N476" s="39"/>
    </row>
    <row r="477" spans="13:14">
      <c r="M477" s="38"/>
      <c r="N477" s="39"/>
    </row>
    <row r="478" spans="13:14">
      <c r="M478" s="38"/>
      <c r="N478" s="39"/>
    </row>
    <row r="479" spans="13:14">
      <c r="M479" s="38"/>
      <c r="N479" s="39"/>
    </row>
    <row r="480" spans="13:14">
      <c r="M480" s="38"/>
      <c r="N480" s="39"/>
    </row>
    <row r="481" spans="13:14">
      <c r="M481" s="38"/>
      <c r="N481" s="39"/>
    </row>
    <row r="482" spans="13:14">
      <c r="M482" s="38"/>
      <c r="N482" s="39"/>
    </row>
    <row r="483" spans="13:14">
      <c r="M483" s="38"/>
      <c r="N483" s="39"/>
    </row>
    <row r="484" spans="13:14">
      <c r="M484" s="38"/>
      <c r="N484" s="39"/>
    </row>
    <row r="485" spans="13:14">
      <c r="M485" s="38"/>
      <c r="N485" s="39"/>
    </row>
    <row r="486" spans="13:14">
      <c r="M486" s="38"/>
      <c r="N486" s="39"/>
    </row>
    <row r="487" spans="13:14">
      <c r="M487" s="38"/>
      <c r="N487" s="39"/>
    </row>
    <row r="488" spans="13:14">
      <c r="M488" s="38"/>
      <c r="N488" s="39"/>
    </row>
    <row r="489" spans="13:14">
      <c r="M489" s="38"/>
      <c r="N489" s="39"/>
    </row>
    <row r="490" spans="13:14">
      <c r="M490" s="38"/>
      <c r="N490" s="39"/>
    </row>
    <row r="491" spans="13:14">
      <c r="M491" s="38"/>
      <c r="N491" s="39"/>
    </row>
    <row r="492" spans="13:14">
      <c r="M492" s="38"/>
      <c r="N492" s="39"/>
    </row>
    <row r="493" spans="13:14">
      <c r="M493" s="38"/>
      <c r="N493" s="39"/>
    </row>
    <row r="494" spans="13:14">
      <c r="M494" s="38"/>
      <c r="N494" s="39"/>
    </row>
    <row r="495" spans="13:14">
      <c r="M495" s="38"/>
      <c r="N495" s="39"/>
    </row>
    <row r="496" spans="13:14">
      <c r="M496" s="38"/>
      <c r="N496" s="39"/>
    </row>
    <row r="497" spans="13:14">
      <c r="M497" s="38"/>
      <c r="N497" s="39"/>
    </row>
    <row r="498" spans="13:14">
      <c r="M498" s="38"/>
      <c r="N498" s="39"/>
    </row>
    <row r="499" spans="13:14">
      <c r="M499" s="38"/>
      <c r="N499" s="39"/>
    </row>
    <row r="500" spans="13:14">
      <c r="M500" s="38"/>
      <c r="N500" s="39"/>
    </row>
    <row r="501" spans="13:14">
      <c r="M501" s="38"/>
      <c r="N501" s="39"/>
    </row>
    <row r="502" spans="13:14">
      <c r="M502" s="38"/>
      <c r="N502" s="39"/>
    </row>
    <row r="503" spans="13:14">
      <c r="M503" s="38"/>
      <c r="N503" s="39"/>
    </row>
    <row r="504" spans="13:14">
      <c r="M504" s="38"/>
      <c r="N504" s="39"/>
    </row>
    <row r="505" spans="13:14">
      <c r="M505" s="38"/>
      <c r="N505" s="39"/>
    </row>
    <row r="506" spans="13:14">
      <c r="M506" s="38"/>
      <c r="N506" s="39"/>
    </row>
    <row r="507" spans="13:14">
      <c r="M507" s="38"/>
      <c r="N507" s="39"/>
    </row>
    <row r="508" spans="13:14">
      <c r="M508" s="38"/>
      <c r="N508" s="39"/>
    </row>
    <row r="509" spans="13:14">
      <c r="M509" s="38"/>
      <c r="N509" s="39"/>
    </row>
    <row r="510" spans="13:14">
      <c r="M510" s="38"/>
      <c r="N510" s="39"/>
    </row>
    <row r="511" spans="13:14">
      <c r="M511" s="38"/>
      <c r="N511" s="39"/>
    </row>
    <row r="512" spans="13:14">
      <c r="M512" s="38"/>
      <c r="N512" s="39"/>
    </row>
    <row r="513" spans="13:14">
      <c r="M513" s="38"/>
      <c r="N513" s="39"/>
    </row>
    <row r="514" spans="13:14">
      <c r="M514" s="38"/>
      <c r="N514" s="39"/>
    </row>
    <row r="515" spans="13:14">
      <c r="M515" s="38"/>
      <c r="N515" s="39"/>
    </row>
    <row r="516" spans="13:14">
      <c r="M516" s="38"/>
      <c r="N516" s="39"/>
    </row>
    <row r="517" spans="13:14">
      <c r="M517" s="38"/>
      <c r="N517" s="39"/>
    </row>
    <row r="518" spans="13:14">
      <c r="M518" s="38"/>
      <c r="N518" s="39"/>
    </row>
    <row r="519" spans="13:14">
      <c r="M519" s="38"/>
      <c r="N519" s="39"/>
    </row>
    <row r="520" spans="13:14">
      <c r="M520" s="38"/>
      <c r="N520" s="39"/>
    </row>
    <row r="521" spans="13:14">
      <c r="M521" s="38"/>
      <c r="N521" s="39"/>
    </row>
    <row r="522" spans="13:14">
      <c r="M522" s="38"/>
      <c r="N522" s="39"/>
    </row>
    <row r="523" spans="13:14">
      <c r="M523" s="38"/>
      <c r="N523" s="39"/>
    </row>
    <row r="524" spans="13:14">
      <c r="M524" s="38"/>
      <c r="N524" s="39"/>
    </row>
    <row r="525" spans="13:14">
      <c r="M525" s="38"/>
      <c r="N525" s="39"/>
    </row>
    <row r="526" spans="13:14">
      <c r="M526" s="38"/>
      <c r="N526" s="39"/>
    </row>
    <row r="527" spans="13:14">
      <c r="M527" s="38"/>
      <c r="N527" s="39"/>
    </row>
    <row r="528" spans="13:14">
      <c r="M528" s="38"/>
      <c r="N528" s="39"/>
    </row>
    <row r="529" spans="13:14">
      <c r="M529" s="38"/>
      <c r="N529" s="39"/>
    </row>
    <row r="530" spans="13:14">
      <c r="M530" s="38"/>
      <c r="N530" s="39"/>
    </row>
    <row r="531" spans="13:14">
      <c r="M531" s="38"/>
      <c r="N531" s="39"/>
    </row>
    <row r="532" spans="13:14">
      <c r="M532" s="38"/>
      <c r="N532" s="39"/>
    </row>
    <row r="533" spans="13:14">
      <c r="M533" s="38"/>
      <c r="N533" s="39"/>
    </row>
    <row r="534" spans="13:14">
      <c r="M534" s="38"/>
      <c r="N534" s="39"/>
    </row>
    <row r="535" spans="13:14">
      <c r="M535" s="38"/>
      <c r="N535" s="39"/>
    </row>
    <row r="536" spans="13:14">
      <c r="M536" s="38"/>
      <c r="N536" s="39"/>
    </row>
    <row r="537" spans="13:14">
      <c r="M537" s="38"/>
      <c r="N537" s="39"/>
    </row>
    <row r="538" spans="13:14">
      <c r="M538" s="38"/>
      <c r="N538" s="39"/>
    </row>
    <row r="539" spans="13:14">
      <c r="M539" s="38"/>
      <c r="N539" s="39"/>
    </row>
    <row r="540" spans="13:14">
      <c r="M540" s="38"/>
      <c r="N540" s="39"/>
    </row>
    <row r="541" spans="13:14">
      <c r="M541" s="38"/>
      <c r="N541" s="39"/>
    </row>
    <row r="542" spans="13:14">
      <c r="M542" s="38"/>
      <c r="N542" s="39"/>
    </row>
    <row r="543" spans="13:14">
      <c r="M543" s="38"/>
      <c r="N543" s="39"/>
    </row>
    <row r="544" spans="13:14">
      <c r="M544" s="38"/>
      <c r="N544" s="39"/>
    </row>
    <row r="545" spans="13:14">
      <c r="M545" s="38"/>
      <c r="N545" s="39"/>
    </row>
    <row r="546" spans="13:14">
      <c r="M546" s="38"/>
      <c r="N546" s="39"/>
    </row>
    <row r="547" spans="13:14">
      <c r="M547" s="38"/>
      <c r="N547" s="39"/>
    </row>
    <row r="548" spans="13:14">
      <c r="M548" s="38"/>
      <c r="N548" s="39"/>
    </row>
    <row r="549" spans="13:14">
      <c r="M549" s="38"/>
      <c r="N549" s="39"/>
    </row>
    <row r="550" spans="13:14">
      <c r="M550" s="38"/>
      <c r="N550" s="39"/>
    </row>
    <row r="551" spans="13:14">
      <c r="M551" s="38"/>
      <c r="N551" s="39"/>
    </row>
    <row r="552" spans="13:14">
      <c r="M552" s="38"/>
      <c r="N552" s="39"/>
    </row>
    <row r="553" spans="13:14">
      <c r="M553" s="38"/>
      <c r="N553" s="39"/>
    </row>
    <row r="554" spans="13:14">
      <c r="M554" s="38"/>
      <c r="N554" s="39"/>
    </row>
    <row r="555" spans="13:14">
      <c r="M555" s="38"/>
      <c r="N555" s="39"/>
    </row>
    <row r="556" spans="13:14">
      <c r="M556" s="38"/>
      <c r="N556" s="39"/>
    </row>
    <row r="557" spans="13:14">
      <c r="M557" s="38"/>
      <c r="N557" s="39"/>
    </row>
    <row r="558" spans="13:14">
      <c r="M558" s="38"/>
      <c r="N558" s="39"/>
    </row>
    <row r="559" spans="13:14">
      <c r="M559" s="38"/>
      <c r="N559" s="39"/>
    </row>
    <row r="560" spans="13:14">
      <c r="M560" s="38"/>
      <c r="N560" s="39"/>
    </row>
    <row r="561" spans="13:14">
      <c r="M561" s="38"/>
      <c r="N561" s="39"/>
    </row>
    <row r="562" spans="13:14">
      <c r="M562" s="38"/>
      <c r="N562" s="39"/>
    </row>
    <row r="563" spans="13:14">
      <c r="M563" s="38"/>
      <c r="N563" s="39"/>
    </row>
    <row r="564" spans="13:14">
      <c r="M564" s="38"/>
      <c r="N564" s="39"/>
    </row>
    <row r="565" spans="13:14">
      <c r="M565" s="38"/>
      <c r="N565" s="39"/>
    </row>
    <row r="566" spans="13:14">
      <c r="M566" s="38"/>
      <c r="N566" s="39"/>
    </row>
    <row r="567" spans="13:14">
      <c r="M567" s="38"/>
      <c r="N567" s="39"/>
    </row>
    <row r="568" spans="13:14">
      <c r="M568" s="38"/>
      <c r="N568" s="39"/>
    </row>
    <row r="569" spans="13:14">
      <c r="M569" s="38"/>
      <c r="N569" s="39"/>
    </row>
    <row r="570" spans="13:14">
      <c r="M570" s="38"/>
      <c r="N570" s="39"/>
    </row>
    <row r="571" spans="13:14">
      <c r="M571" s="38"/>
      <c r="N571" s="39"/>
    </row>
    <row r="572" spans="13:14">
      <c r="M572" s="38"/>
      <c r="N572" s="39"/>
    </row>
    <row r="573" spans="13:14">
      <c r="M573" s="38"/>
      <c r="N573" s="39"/>
    </row>
    <row r="574" spans="13:14">
      <c r="M574" s="38"/>
      <c r="N574" s="39"/>
    </row>
    <row r="575" spans="13:14">
      <c r="M575" s="38"/>
      <c r="N575" s="39"/>
    </row>
    <row r="576" spans="13:14">
      <c r="M576" s="38"/>
      <c r="N576" s="39"/>
    </row>
    <row r="577" spans="13:14">
      <c r="M577" s="38"/>
      <c r="N577" s="39"/>
    </row>
    <row r="578" spans="13:14">
      <c r="M578" s="38"/>
      <c r="N578" s="39"/>
    </row>
    <row r="579" spans="13:14">
      <c r="M579" s="38"/>
      <c r="N579" s="39"/>
    </row>
    <row r="580" spans="13:14">
      <c r="M580" s="38"/>
      <c r="N580" s="39"/>
    </row>
    <row r="581" spans="13:14">
      <c r="M581" s="38"/>
      <c r="N581" s="39"/>
    </row>
    <row r="582" spans="13:14">
      <c r="M582" s="38"/>
      <c r="N582" s="39"/>
    </row>
    <row r="583" spans="13:14">
      <c r="M583" s="38"/>
      <c r="N583" s="39"/>
    </row>
    <row r="584" spans="13:14">
      <c r="M584" s="38"/>
      <c r="N584" s="39"/>
    </row>
    <row r="585" spans="13:14">
      <c r="M585" s="38"/>
      <c r="N585" s="39"/>
    </row>
    <row r="586" spans="13:14">
      <c r="M586" s="38"/>
      <c r="N586" s="39"/>
    </row>
    <row r="587" spans="13:14">
      <c r="M587" s="38"/>
      <c r="N587" s="39"/>
    </row>
    <row r="588" spans="13:14">
      <c r="M588" s="38"/>
      <c r="N588" s="39"/>
    </row>
    <row r="589" spans="13:14">
      <c r="M589" s="38"/>
      <c r="N589" s="39"/>
    </row>
    <row r="590" spans="13:14">
      <c r="M590" s="38"/>
      <c r="N590" s="39"/>
    </row>
    <row r="591" spans="13:14">
      <c r="M591" s="38"/>
      <c r="N591" s="39"/>
    </row>
    <row r="592" spans="13:14">
      <c r="M592" s="38"/>
      <c r="N592" s="39"/>
    </row>
    <row r="593" spans="13:14">
      <c r="M593" s="38"/>
      <c r="N593" s="39"/>
    </row>
    <row r="594" spans="13:14">
      <c r="M594" s="38"/>
      <c r="N594" s="39"/>
    </row>
    <row r="595" spans="13:14">
      <c r="M595" s="38"/>
      <c r="N595" s="39"/>
    </row>
    <row r="596" spans="13:14">
      <c r="M596" s="38"/>
      <c r="N596" s="39"/>
    </row>
    <row r="597" spans="13:14">
      <c r="M597" s="38"/>
      <c r="N597" s="39"/>
    </row>
    <row r="598" spans="13:14">
      <c r="M598" s="38"/>
      <c r="N598" s="39"/>
    </row>
    <row r="599" spans="13:14">
      <c r="M599" s="38"/>
      <c r="N599" s="39"/>
    </row>
    <row r="600" spans="13:14">
      <c r="M600" s="38"/>
      <c r="N600" s="39"/>
    </row>
    <row r="601" spans="13:14">
      <c r="M601" s="38"/>
      <c r="N601" s="39"/>
    </row>
    <row r="602" spans="13:14">
      <c r="M602" s="38"/>
      <c r="N602" s="39"/>
    </row>
    <row r="603" spans="13:14">
      <c r="M603" s="38"/>
      <c r="N603" s="39"/>
    </row>
    <row r="604" spans="13:14">
      <c r="M604" s="38"/>
      <c r="N604" s="39"/>
    </row>
    <row r="605" spans="13:14">
      <c r="M605" s="38"/>
      <c r="N605" s="39"/>
    </row>
    <row r="606" spans="13:14">
      <c r="M606" s="38"/>
      <c r="N606" s="39"/>
    </row>
    <row r="607" spans="13:14">
      <c r="M607" s="38"/>
      <c r="N607" s="39"/>
    </row>
    <row r="608" spans="13:14">
      <c r="M608" s="38"/>
      <c r="N608" s="39"/>
    </row>
    <row r="609" spans="13:14">
      <c r="M609" s="38"/>
      <c r="N609" s="39"/>
    </row>
    <row r="610" spans="13:14">
      <c r="M610" s="38"/>
      <c r="N610" s="39"/>
    </row>
    <row r="611" spans="13:14">
      <c r="M611" s="38"/>
      <c r="N611" s="39"/>
    </row>
    <row r="612" spans="13:14">
      <c r="M612" s="38"/>
      <c r="N612" s="39"/>
    </row>
    <row r="613" spans="13:14">
      <c r="M613" s="38"/>
      <c r="N613" s="39"/>
    </row>
    <row r="614" spans="13:14">
      <c r="M614" s="38"/>
      <c r="N614" s="39"/>
    </row>
    <row r="615" spans="13:14">
      <c r="M615" s="38"/>
      <c r="N615" s="39"/>
    </row>
    <row r="616" spans="13:14">
      <c r="M616" s="38"/>
      <c r="N616" s="39"/>
    </row>
    <row r="617" spans="13:14">
      <c r="M617" s="38"/>
      <c r="N617" s="39"/>
    </row>
    <row r="618" spans="13:14">
      <c r="M618" s="38"/>
      <c r="N618" s="39"/>
    </row>
    <row r="619" spans="13:14">
      <c r="M619" s="38"/>
      <c r="N619" s="39"/>
    </row>
    <row r="620" spans="13:14">
      <c r="M620" s="38"/>
      <c r="N620" s="39"/>
    </row>
    <row r="621" spans="13:14">
      <c r="M621" s="38"/>
      <c r="N621" s="39"/>
    </row>
    <row r="622" spans="13:14">
      <c r="M622" s="38"/>
      <c r="N622" s="39"/>
    </row>
    <row r="623" spans="13:14">
      <c r="M623" s="38"/>
      <c r="N623" s="39"/>
    </row>
    <row r="624" spans="13:14">
      <c r="M624" s="38"/>
      <c r="N624" s="39"/>
    </row>
    <row r="625" spans="13:14">
      <c r="M625" s="38"/>
      <c r="N625" s="39"/>
    </row>
    <row r="626" spans="13:14">
      <c r="M626" s="38"/>
      <c r="N626" s="39"/>
    </row>
    <row r="627" spans="13:14">
      <c r="M627" s="38"/>
      <c r="N627" s="39"/>
    </row>
    <row r="628" spans="13:14">
      <c r="M628" s="38"/>
      <c r="N628" s="39"/>
    </row>
    <row r="629" spans="13:14">
      <c r="M629" s="38"/>
      <c r="N629" s="39"/>
    </row>
    <row r="630" spans="13:14">
      <c r="M630" s="38"/>
      <c r="N630" s="39"/>
    </row>
    <row r="631" spans="13:14">
      <c r="M631" s="38"/>
      <c r="N631" s="39"/>
    </row>
    <row r="632" spans="13:14">
      <c r="M632" s="38"/>
      <c r="N632" s="39"/>
    </row>
    <row r="633" spans="13:14">
      <c r="M633" s="38"/>
      <c r="N633" s="39"/>
    </row>
    <row r="634" spans="13:14">
      <c r="M634" s="38"/>
      <c r="N634" s="39"/>
    </row>
    <row r="635" spans="13:14">
      <c r="M635" s="38"/>
      <c r="N635" s="39"/>
    </row>
    <row r="636" spans="13:14">
      <c r="M636" s="38"/>
      <c r="N636" s="39"/>
    </row>
    <row r="637" spans="13:14">
      <c r="M637" s="38"/>
      <c r="N637" s="39"/>
    </row>
    <row r="638" spans="13:14">
      <c r="M638" s="38"/>
      <c r="N638" s="39"/>
    </row>
    <row r="639" spans="13:14">
      <c r="M639" s="38"/>
      <c r="N639" s="39"/>
    </row>
    <row r="640" spans="13:14">
      <c r="M640" s="38"/>
      <c r="N640" s="39"/>
    </row>
    <row r="641" spans="13:14">
      <c r="M641" s="38"/>
      <c r="N641" s="39"/>
    </row>
    <row r="642" spans="13:14">
      <c r="M642" s="38"/>
      <c r="N642" s="39"/>
    </row>
    <row r="643" spans="13:14">
      <c r="M643" s="38"/>
      <c r="N643" s="39"/>
    </row>
    <row r="644" spans="13:14">
      <c r="M644" s="38"/>
      <c r="N644" s="39"/>
    </row>
    <row r="645" spans="13:14">
      <c r="M645" s="38"/>
      <c r="N645" s="39"/>
    </row>
    <row r="646" spans="13:14">
      <c r="M646" s="38"/>
      <c r="N646" s="39"/>
    </row>
    <row r="647" spans="13:14">
      <c r="M647" s="38"/>
      <c r="N647" s="39"/>
    </row>
    <row r="648" spans="13:14">
      <c r="M648" s="38"/>
      <c r="N648" s="39"/>
    </row>
    <row r="649" spans="13:14">
      <c r="M649" s="38"/>
      <c r="N649" s="39"/>
    </row>
    <row r="650" spans="13:14">
      <c r="M650" s="38"/>
      <c r="N650" s="39"/>
    </row>
    <row r="651" spans="13:14">
      <c r="M651" s="38"/>
      <c r="N651" s="39"/>
    </row>
    <row r="652" spans="13:14">
      <c r="M652" s="38"/>
      <c r="N652" s="39"/>
    </row>
    <row r="653" spans="13:14">
      <c r="M653" s="38"/>
      <c r="N653" s="39"/>
    </row>
    <row r="654" spans="13:14">
      <c r="M654" s="38"/>
      <c r="N654" s="39"/>
    </row>
    <row r="655" spans="13:14">
      <c r="M655" s="38"/>
      <c r="N655" s="39"/>
    </row>
    <row r="656" spans="13:14">
      <c r="M656" s="38"/>
      <c r="N656" s="39"/>
    </row>
    <row r="657" spans="13:14">
      <c r="M657" s="38"/>
      <c r="N657" s="39"/>
    </row>
    <row r="658" spans="13:14">
      <c r="M658" s="38"/>
      <c r="N658" s="39"/>
    </row>
    <row r="659" spans="13:14">
      <c r="M659" s="38"/>
      <c r="N659" s="39"/>
    </row>
    <row r="660" spans="13:14">
      <c r="M660" s="38"/>
      <c r="N660" s="39"/>
    </row>
    <row r="661" spans="13:14">
      <c r="M661" s="38"/>
      <c r="N661" s="39"/>
    </row>
    <row r="662" spans="13:14">
      <c r="M662" s="38"/>
      <c r="N662" s="39"/>
    </row>
    <row r="663" spans="13:14">
      <c r="M663" s="38"/>
      <c r="N663" s="39"/>
    </row>
    <row r="664" spans="13:14">
      <c r="M664" s="38"/>
      <c r="N664" s="39"/>
    </row>
    <row r="665" spans="13:14">
      <c r="M665" s="38"/>
      <c r="N665" s="39"/>
    </row>
    <row r="666" spans="13:14">
      <c r="M666" s="38"/>
      <c r="N666" s="39"/>
    </row>
    <row r="667" spans="13:14">
      <c r="M667" s="38"/>
      <c r="N667" s="39"/>
    </row>
    <row r="668" spans="13:14">
      <c r="M668" s="38"/>
      <c r="N668" s="39"/>
    </row>
    <row r="669" spans="13:14">
      <c r="M669" s="38"/>
      <c r="N669" s="39"/>
    </row>
    <row r="670" spans="13:14">
      <c r="M670" s="38"/>
      <c r="N670" s="39"/>
    </row>
    <row r="671" spans="13:14">
      <c r="M671" s="38"/>
      <c r="N671" s="39"/>
    </row>
    <row r="672" spans="13:14">
      <c r="M672" s="38"/>
      <c r="N672" s="39"/>
    </row>
    <row r="673" spans="13:14">
      <c r="M673" s="38"/>
      <c r="N673" s="39"/>
    </row>
    <row r="674" spans="13:14">
      <c r="M674" s="38"/>
      <c r="N674" s="39"/>
    </row>
    <row r="675" spans="13:14">
      <c r="M675" s="38"/>
      <c r="N675" s="39"/>
    </row>
    <row r="676" spans="13:14">
      <c r="M676" s="38"/>
      <c r="N676" s="39"/>
    </row>
    <row r="677" spans="13:14">
      <c r="M677" s="38"/>
      <c r="N677" s="39"/>
    </row>
    <row r="678" spans="13:14">
      <c r="M678" s="38"/>
      <c r="N678" s="39"/>
    </row>
    <row r="679" spans="13:14">
      <c r="M679" s="38"/>
      <c r="N679" s="39"/>
    </row>
    <row r="680" spans="13:14">
      <c r="M680" s="38"/>
      <c r="N680" s="39"/>
    </row>
    <row r="681" spans="13:14">
      <c r="M681" s="38"/>
      <c r="N681" s="39"/>
    </row>
    <row r="682" spans="13:14">
      <c r="M682" s="38"/>
      <c r="N682" s="39"/>
    </row>
    <row r="683" spans="13:14">
      <c r="M683" s="38"/>
      <c r="N683" s="39"/>
    </row>
    <row r="684" spans="13:14">
      <c r="M684" s="38"/>
      <c r="N684" s="39"/>
    </row>
    <row r="685" spans="13:14">
      <c r="M685" s="38"/>
      <c r="N685" s="39"/>
    </row>
    <row r="686" spans="13:14">
      <c r="M686" s="38"/>
      <c r="N686" s="39"/>
    </row>
    <row r="687" spans="13:14">
      <c r="M687" s="38"/>
      <c r="N687" s="39"/>
    </row>
    <row r="688" spans="13:14">
      <c r="M688" s="38"/>
      <c r="N688" s="39"/>
    </row>
    <row r="689" spans="13:14">
      <c r="M689" s="38"/>
      <c r="N689" s="39"/>
    </row>
    <row r="690" spans="13:14">
      <c r="M690" s="38"/>
      <c r="N690" s="39"/>
    </row>
    <row r="691" spans="13:14">
      <c r="M691" s="38"/>
      <c r="N691" s="39"/>
    </row>
    <row r="692" spans="13:14">
      <c r="M692" s="38"/>
      <c r="N692" s="39"/>
    </row>
    <row r="693" spans="13:14">
      <c r="M693" s="38"/>
      <c r="N693" s="39"/>
    </row>
    <row r="694" spans="13:14">
      <c r="M694" s="38"/>
      <c r="N694" s="39"/>
    </row>
    <row r="695" spans="13:14">
      <c r="M695" s="38"/>
      <c r="N695" s="39"/>
    </row>
    <row r="696" spans="13:14">
      <c r="M696" s="38"/>
      <c r="N696" s="39"/>
    </row>
    <row r="697" spans="13:14">
      <c r="M697" s="38"/>
      <c r="N697" s="39"/>
    </row>
    <row r="698" spans="13:14">
      <c r="M698" s="38"/>
      <c r="N698" s="39"/>
    </row>
    <row r="699" spans="13:14">
      <c r="M699" s="38"/>
      <c r="N699" s="39"/>
    </row>
    <row r="700" spans="13:14">
      <c r="M700" s="38"/>
      <c r="N700" s="39"/>
    </row>
    <row r="701" spans="13:14">
      <c r="M701" s="38"/>
      <c r="N701" s="39"/>
    </row>
    <row r="702" spans="13:14">
      <c r="M702" s="38"/>
      <c r="N702" s="39"/>
    </row>
    <row r="703" spans="13:14">
      <c r="M703" s="38"/>
      <c r="N703" s="39"/>
    </row>
    <row r="704" spans="13:14">
      <c r="M704" s="38"/>
      <c r="N704" s="39"/>
    </row>
    <row r="705" spans="13:14">
      <c r="M705" s="38"/>
      <c r="N705" s="39"/>
    </row>
    <row r="706" spans="13:14">
      <c r="M706" s="38"/>
      <c r="N706" s="39"/>
    </row>
    <row r="707" spans="13:14">
      <c r="M707" s="38"/>
      <c r="N707" s="39"/>
    </row>
    <row r="708" spans="13:14">
      <c r="M708" s="38"/>
      <c r="N708" s="39"/>
    </row>
    <row r="709" spans="13:14">
      <c r="M709" s="38"/>
      <c r="N709" s="39"/>
    </row>
    <row r="710" spans="13:14">
      <c r="M710" s="38"/>
      <c r="N710" s="39"/>
    </row>
    <row r="711" spans="13:14">
      <c r="M711" s="38"/>
      <c r="N711" s="39"/>
    </row>
    <row r="712" spans="13:14">
      <c r="M712" s="38"/>
      <c r="N712" s="39"/>
    </row>
    <row r="713" spans="13:14">
      <c r="M713" s="38"/>
      <c r="N713" s="39"/>
    </row>
    <row r="714" spans="13:14">
      <c r="M714" s="38"/>
      <c r="N714" s="39"/>
    </row>
    <row r="715" spans="13:14">
      <c r="M715" s="38"/>
      <c r="N715" s="39"/>
    </row>
    <row r="716" spans="13:14">
      <c r="M716" s="38"/>
      <c r="N716" s="39"/>
    </row>
    <row r="717" spans="13:14">
      <c r="M717" s="38"/>
      <c r="N717" s="39"/>
    </row>
    <row r="718" spans="13:14">
      <c r="M718" s="38"/>
      <c r="N718" s="39"/>
    </row>
    <row r="719" spans="13:14">
      <c r="M719" s="38"/>
      <c r="N719" s="39"/>
    </row>
    <row r="720" spans="13:14">
      <c r="M720" s="38"/>
      <c r="N720" s="39"/>
    </row>
    <row r="721" spans="13:14">
      <c r="M721" s="38"/>
      <c r="N721" s="39"/>
    </row>
    <row r="722" spans="13:14">
      <c r="M722" s="38"/>
      <c r="N722" s="39"/>
    </row>
    <row r="723" spans="13:14">
      <c r="M723" s="38"/>
      <c r="N723" s="39"/>
    </row>
    <row r="724" spans="13:14">
      <c r="M724" s="38"/>
      <c r="N724" s="39"/>
    </row>
    <row r="725" spans="13:14">
      <c r="M725" s="38"/>
      <c r="N725" s="39"/>
    </row>
    <row r="726" spans="13:14">
      <c r="M726" s="38"/>
      <c r="N726" s="39"/>
    </row>
    <row r="727" spans="13:14">
      <c r="M727" s="38"/>
      <c r="N727" s="39"/>
    </row>
    <row r="728" spans="13:14">
      <c r="M728" s="38"/>
      <c r="N728" s="39"/>
    </row>
    <row r="729" spans="13:14">
      <c r="M729" s="38"/>
      <c r="N729" s="39"/>
    </row>
    <row r="730" spans="13:14">
      <c r="M730" s="38"/>
      <c r="N730" s="39"/>
    </row>
    <row r="731" spans="13:14">
      <c r="M731" s="38"/>
      <c r="N731" s="39"/>
    </row>
    <row r="732" spans="13:14">
      <c r="M732" s="38"/>
      <c r="N732" s="39"/>
    </row>
    <row r="733" spans="13:14">
      <c r="M733" s="38"/>
      <c r="N733" s="39"/>
    </row>
    <row r="734" spans="13:14">
      <c r="M734" s="38"/>
      <c r="N734" s="39"/>
    </row>
    <row r="735" spans="13:14">
      <c r="M735" s="38"/>
      <c r="N735" s="39"/>
    </row>
    <row r="736" spans="13:14">
      <c r="M736" s="38"/>
      <c r="N736" s="39"/>
    </row>
    <row r="737" spans="13:14">
      <c r="M737" s="38"/>
      <c r="N737" s="39"/>
    </row>
    <row r="738" spans="13:14">
      <c r="M738" s="38"/>
      <c r="N738" s="39"/>
    </row>
    <row r="739" spans="13:14">
      <c r="M739" s="38"/>
      <c r="N739" s="39"/>
    </row>
    <row r="740" spans="13:14">
      <c r="M740" s="38"/>
      <c r="N740" s="39"/>
    </row>
    <row r="741" spans="13:14">
      <c r="M741" s="38"/>
      <c r="N741" s="39"/>
    </row>
    <row r="742" spans="13:14">
      <c r="M742" s="38"/>
      <c r="N742" s="39"/>
    </row>
    <row r="743" spans="13:14">
      <c r="M743" s="38"/>
      <c r="N743" s="39"/>
    </row>
    <row r="744" spans="13:14">
      <c r="M744" s="38"/>
      <c r="N744" s="39"/>
    </row>
    <row r="745" spans="13:14">
      <c r="M745" s="38"/>
      <c r="N745" s="39"/>
    </row>
    <row r="746" spans="13:14">
      <c r="M746" s="38"/>
      <c r="N746" s="39"/>
    </row>
    <row r="747" spans="13:14">
      <c r="M747" s="38"/>
      <c r="N747" s="39"/>
    </row>
    <row r="748" spans="13:14">
      <c r="M748" s="38"/>
      <c r="N748" s="39"/>
    </row>
    <row r="749" spans="13:14">
      <c r="M749" s="38"/>
      <c r="N749" s="39"/>
    </row>
    <row r="750" spans="13:14">
      <c r="M750" s="38"/>
      <c r="N750" s="39"/>
    </row>
    <row r="751" spans="13:14">
      <c r="M751" s="38"/>
      <c r="N751" s="39"/>
    </row>
    <row r="752" spans="13:14">
      <c r="M752" s="38"/>
      <c r="N752" s="39"/>
    </row>
    <row r="753" spans="13:14">
      <c r="M753" s="38"/>
      <c r="N753" s="39"/>
    </row>
    <row r="754" spans="13:14">
      <c r="M754" s="38"/>
      <c r="N754" s="39"/>
    </row>
    <row r="755" spans="13:14">
      <c r="M755" s="38"/>
      <c r="N755" s="39"/>
    </row>
    <row r="756" spans="13:14">
      <c r="M756" s="38"/>
      <c r="N756" s="39"/>
    </row>
    <row r="757" spans="13:14">
      <c r="M757" s="38"/>
      <c r="N757" s="39"/>
    </row>
    <row r="758" spans="13:14">
      <c r="M758" s="38"/>
      <c r="N758" s="39"/>
    </row>
    <row r="759" spans="13:14">
      <c r="M759" s="38"/>
      <c r="N759" s="39"/>
    </row>
    <row r="760" spans="13:14">
      <c r="M760" s="38"/>
      <c r="N760" s="39"/>
    </row>
    <row r="761" spans="13:14">
      <c r="M761" s="38"/>
      <c r="N761" s="39"/>
    </row>
    <row r="762" spans="13:14">
      <c r="M762" s="38"/>
      <c r="N762" s="39"/>
    </row>
    <row r="763" spans="13:14">
      <c r="M763" s="38"/>
      <c r="N763" s="39"/>
    </row>
    <row r="764" spans="13:14">
      <c r="M764" s="38"/>
      <c r="N764" s="39"/>
    </row>
    <row r="765" spans="13:14">
      <c r="M765" s="38"/>
      <c r="N765" s="39"/>
    </row>
    <row r="766" spans="13:14">
      <c r="M766" s="38"/>
      <c r="N766" s="39"/>
    </row>
    <row r="767" spans="13:14">
      <c r="M767" s="38"/>
      <c r="N767" s="39"/>
    </row>
    <row r="768" spans="13:14">
      <c r="M768" s="38"/>
      <c r="N768" s="39"/>
    </row>
    <row r="769" spans="13:14">
      <c r="M769" s="38"/>
      <c r="N769" s="39"/>
    </row>
    <row r="770" spans="13:14">
      <c r="M770" s="38"/>
      <c r="N770" s="39"/>
    </row>
    <row r="771" spans="13:14">
      <c r="M771" s="38"/>
      <c r="N771" s="39"/>
    </row>
    <row r="772" spans="13:14">
      <c r="M772" s="38"/>
      <c r="N772" s="39"/>
    </row>
    <row r="773" spans="13:14">
      <c r="M773" s="38"/>
      <c r="N773" s="39"/>
    </row>
    <row r="774" spans="13:14">
      <c r="M774" s="38"/>
      <c r="N774" s="39"/>
    </row>
    <row r="775" spans="13:14">
      <c r="M775" s="38"/>
      <c r="N775" s="39"/>
    </row>
    <row r="776" spans="13:14">
      <c r="M776" s="38"/>
      <c r="N776" s="39"/>
    </row>
    <row r="777" spans="13:14">
      <c r="M777" s="38"/>
      <c r="N777" s="39"/>
    </row>
    <row r="778" spans="13:14">
      <c r="M778" s="38"/>
      <c r="N778" s="39"/>
    </row>
    <row r="779" spans="13:14">
      <c r="M779" s="38"/>
      <c r="N779" s="39"/>
    </row>
    <row r="780" spans="13:14">
      <c r="M780" s="38"/>
      <c r="N780" s="39"/>
    </row>
    <row r="781" spans="13:14">
      <c r="M781" s="38"/>
      <c r="N781" s="39"/>
    </row>
    <row r="782" spans="13:14">
      <c r="M782" s="38"/>
      <c r="N782" s="39"/>
    </row>
    <row r="783" spans="13:14">
      <c r="M783" s="38"/>
      <c r="N783" s="39"/>
    </row>
    <row r="784" spans="13:14">
      <c r="M784" s="38"/>
      <c r="N784" s="39"/>
    </row>
    <row r="785" spans="13:14">
      <c r="M785" s="38"/>
      <c r="N785" s="39"/>
    </row>
    <row r="786" spans="13:14">
      <c r="M786" s="38"/>
      <c r="N786" s="39"/>
    </row>
    <row r="787" spans="13:14">
      <c r="M787" s="38"/>
      <c r="N787" s="39"/>
    </row>
    <row r="788" spans="13:14">
      <c r="M788" s="38"/>
      <c r="N788" s="39"/>
    </row>
    <row r="789" spans="13:14">
      <c r="M789" s="38"/>
      <c r="N789" s="39"/>
    </row>
    <row r="790" spans="13:14">
      <c r="M790" s="38"/>
      <c r="N790" s="39"/>
    </row>
    <row r="791" spans="13:14">
      <c r="M791" s="38"/>
      <c r="N791" s="39"/>
    </row>
    <row r="792" spans="13:14">
      <c r="M792" s="38"/>
      <c r="N792" s="39"/>
    </row>
    <row r="793" spans="13:14">
      <c r="M793" s="38"/>
      <c r="N793" s="39"/>
    </row>
    <row r="794" spans="13:14">
      <c r="M794" s="38"/>
      <c r="N794" s="39"/>
    </row>
    <row r="795" spans="13:14">
      <c r="M795" s="38"/>
      <c r="N795" s="39"/>
    </row>
    <row r="796" spans="13:14">
      <c r="M796" s="38"/>
      <c r="N796" s="39"/>
    </row>
    <row r="797" spans="13:14">
      <c r="M797" s="38"/>
      <c r="N797" s="39"/>
    </row>
    <row r="798" spans="13:14">
      <c r="M798" s="38"/>
      <c r="N798" s="39"/>
    </row>
    <row r="799" spans="13:14">
      <c r="M799" s="38"/>
      <c r="N799" s="39"/>
    </row>
    <row r="800" spans="13:14">
      <c r="M800" s="38"/>
      <c r="N800" s="39"/>
    </row>
    <row r="801" spans="13:14">
      <c r="M801" s="38"/>
      <c r="N801" s="39"/>
    </row>
    <row r="802" spans="13:14">
      <c r="M802" s="38"/>
      <c r="N802" s="39"/>
    </row>
    <row r="803" spans="13:14">
      <c r="M803" s="38"/>
      <c r="N803" s="39"/>
    </row>
    <row r="804" spans="13:14">
      <c r="M804" s="38"/>
      <c r="N804" s="39"/>
    </row>
    <row r="805" spans="13:14">
      <c r="M805" s="38"/>
      <c r="N805" s="39"/>
    </row>
    <row r="806" spans="13:14">
      <c r="M806" s="38"/>
      <c r="N806" s="39"/>
    </row>
    <row r="807" spans="13:14">
      <c r="M807" s="38"/>
      <c r="N807" s="39"/>
    </row>
    <row r="808" spans="13:14">
      <c r="M808" s="38"/>
      <c r="N808" s="39"/>
    </row>
    <row r="809" spans="13:14">
      <c r="M809" s="38"/>
      <c r="N809" s="39"/>
    </row>
    <row r="810" spans="13:14">
      <c r="M810" s="38"/>
      <c r="N810" s="39"/>
    </row>
    <row r="811" spans="13:14">
      <c r="M811" s="38"/>
      <c r="N811" s="39"/>
    </row>
    <row r="812" spans="13:14">
      <c r="M812" s="38"/>
      <c r="N812" s="39"/>
    </row>
    <row r="813" spans="13:14">
      <c r="M813" s="38"/>
      <c r="N813" s="39"/>
    </row>
    <row r="814" spans="13:14">
      <c r="M814" s="38"/>
      <c r="N814" s="39"/>
    </row>
    <row r="815" spans="13:14">
      <c r="M815" s="38"/>
      <c r="N815" s="39"/>
    </row>
    <row r="816" spans="13:14">
      <c r="M816" s="38"/>
      <c r="N816" s="39"/>
    </row>
    <row r="817" spans="13:14">
      <c r="M817" s="38"/>
      <c r="N817" s="39"/>
    </row>
    <row r="818" spans="13:14">
      <c r="M818" s="38"/>
      <c r="N818" s="39"/>
    </row>
    <row r="819" spans="13:14">
      <c r="M819" s="38"/>
      <c r="N819" s="39"/>
    </row>
    <row r="820" spans="13:14">
      <c r="M820" s="38"/>
      <c r="N820" s="39"/>
    </row>
    <row r="821" spans="13:14">
      <c r="M821" s="38"/>
      <c r="N821" s="39"/>
    </row>
    <row r="822" spans="13:14">
      <c r="M822" s="38"/>
      <c r="N822" s="39"/>
    </row>
    <row r="823" spans="13:14">
      <c r="M823" s="38"/>
      <c r="N823" s="39"/>
    </row>
    <row r="824" spans="13:14">
      <c r="M824" s="38"/>
      <c r="N824" s="39"/>
    </row>
    <row r="825" spans="13:14">
      <c r="M825" s="38"/>
      <c r="N825" s="39"/>
    </row>
    <row r="826" spans="13:14">
      <c r="M826" s="38"/>
      <c r="N826" s="39"/>
    </row>
    <row r="827" spans="13:14">
      <c r="M827" s="38"/>
      <c r="N827" s="39"/>
    </row>
    <row r="828" spans="13:14">
      <c r="M828" s="38"/>
      <c r="N828" s="39"/>
    </row>
    <row r="829" spans="13:14">
      <c r="M829" s="38"/>
      <c r="N829" s="39"/>
    </row>
    <row r="830" spans="13:14">
      <c r="M830" s="38"/>
      <c r="N830" s="39"/>
    </row>
    <row r="831" spans="13:14">
      <c r="M831" s="38"/>
      <c r="N831" s="39"/>
    </row>
    <row r="832" spans="13:14">
      <c r="M832" s="38"/>
      <c r="N832" s="39"/>
    </row>
    <row r="833" spans="13:14">
      <c r="M833" s="38"/>
      <c r="N833" s="39"/>
    </row>
    <row r="834" spans="13:14">
      <c r="M834" s="38"/>
      <c r="N834" s="39"/>
    </row>
    <row r="835" spans="13:14">
      <c r="M835" s="38"/>
      <c r="N835" s="39"/>
    </row>
    <row r="836" spans="13:14">
      <c r="M836" s="38"/>
      <c r="N836" s="39"/>
    </row>
    <row r="837" spans="13:14">
      <c r="M837" s="38"/>
      <c r="N837" s="39"/>
    </row>
    <row r="838" spans="13:14">
      <c r="M838" s="38"/>
      <c r="N838" s="39"/>
    </row>
    <row r="839" spans="13:14">
      <c r="M839" s="38"/>
      <c r="N839" s="39"/>
    </row>
    <row r="840" spans="13:14">
      <c r="M840" s="38"/>
      <c r="N840" s="39"/>
    </row>
    <row r="841" spans="13:14">
      <c r="M841" s="38"/>
      <c r="N841" s="39"/>
    </row>
    <row r="842" spans="13:14">
      <c r="M842" s="38"/>
      <c r="N842" s="39"/>
    </row>
    <row r="843" spans="13:14">
      <c r="M843" s="38"/>
      <c r="N843" s="39"/>
    </row>
    <row r="844" spans="13:14">
      <c r="M844" s="38"/>
      <c r="N844" s="39"/>
    </row>
    <row r="845" spans="13:14">
      <c r="M845" s="38"/>
      <c r="N845" s="39"/>
    </row>
    <row r="846" spans="13:14">
      <c r="M846" s="38"/>
      <c r="N846" s="39"/>
    </row>
    <row r="847" spans="13:14">
      <c r="M847" s="38"/>
      <c r="N847" s="39"/>
    </row>
    <row r="848" spans="13:14">
      <c r="M848" s="38"/>
      <c r="N848" s="39"/>
    </row>
    <row r="849" spans="13:14">
      <c r="M849" s="38"/>
      <c r="N849" s="39"/>
    </row>
    <row r="850" spans="13:14">
      <c r="M850" s="38"/>
      <c r="N850" s="39"/>
    </row>
    <row r="851" spans="13:14">
      <c r="M851" s="38"/>
      <c r="N851" s="39"/>
    </row>
    <row r="852" spans="13:14">
      <c r="M852" s="38"/>
      <c r="N852" s="39"/>
    </row>
    <row r="853" spans="13:14">
      <c r="M853" s="38"/>
      <c r="N853" s="39"/>
    </row>
    <row r="854" spans="13:14">
      <c r="M854" s="38"/>
      <c r="N854" s="39"/>
    </row>
    <row r="855" spans="13:14">
      <c r="M855" s="38"/>
      <c r="N855" s="39"/>
    </row>
    <row r="856" spans="13:14">
      <c r="M856" s="38"/>
      <c r="N856" s="39"/>
    </row>
    <row r="857" spans="13:14">
      <c r="M857" s="38"/>
      <c r="N857" s="39"/>
    </row>
    <row r="858" spans="13:14">
      <c r="M858" s="38"/>
      <c r="N858" s="39"/>
    </row>
    <row r="859" spans="13:14">
      <c r="M859" s="38"/>
      <c r="N859" s="39"/>
    </row>
    <row r="860" spans="13:14">
      <c r="M860" s="38"/>
      <c r="N860" s="39"/>
    </row>
    <row r="861" spans="13:14">
      <c r="M861" s="38"/>
      <c r="N861" s="39"/>
    </row>
    <row r="862" spans="13:14">
      <c r="M862" s="38"/>
      <c r="N862" s="39"/>
    </row>
    <row r="863" spans="13:14">
      <c r="M863" s="38"/>
      <c r="N863" s="39"/>
    </row>
    <row r="864" spans="13:14">
      <c r="M864" s="38"/>
      <c r="N864" s="39"/>
    </row>
    <row r="865" spans="13:14">
      <c r="M865" s="38"/>
      <c r="N865" s="39"/>
    </row>
    <row r="866" spans="13:14">
      <c r="M866" s="38"/>
      <c r="N866" s="39"/>
    </row>
    <row r="867" spans="13:14">
      <c r="M867" s="38"/>
      <c r="N867" s="39"/>
    </row>
    <row r="868" spans="13:14">
      <c r="M868" s="38"/>
      <c r="N868" s="39"/>
    </row>
    <row r="869" spans="13:14">
      <c r="M869" s="38"/>
      <c r="N869" s="39"/>
    </row>
    <row r="870" spans="13:14">
      <c r="M870" s="38"/>
      <c r="N870" s="39"/>
    </row>
    <row r="871" spans="13:14">
      <c r="M871" s="38"/>
      <c r="N871" s="39"/>
    </row>
    <row r="872" spans="13:14">
      <c r="M872" s="38"/>
      <c r="N872" s="39"/>
    </row>
    <row r="873" spans="13:14">
      <c r="M873" s="38"/>
      <c r="N873" s="39"/>
    </row>
    <row r="874" spans="13:14">
      <c r="M874" s="38"/>
      <c r="N874" s="39"/>
    </row>
    <row r="875" spans="13:14">
      <c r="M875" s="38"/>
      <c r="N875" s="39"/>
    </row>
    <row r="876" spans="13:14">
      <c r="M876" s="38"/>
      <c r="N876" s="39"/>
    </row>
    <row r="877" spans="13:14">
      <c r="M877" s="38"/>
      <c r="N877" s="39"/>
    </row>
    <row r="878" spans="13:14">
      <c r="M878" s="38"/>
      <c r="N878" s="39"/>
    </row>
    <row r="879" spans="13:14">
      <c r="M879" s="38"/>
      <c r="N879" s="39"/>
    </row>
    <row r="880" spans="13:14">
      <c r="M880" s="38"/>
      <c r="N880" s="39"/>
    </row>
    <row r="881" spans="13:14">
      <c r="M881" s="38"/>
      <c r="N881" s="39"/>
    </row>
    <row r="882" spans="13:14">
      <c r="M882" s="38"/>
      <c r="N882" s="39"/>
    </row>
    <row r="883" spans="13:14">
      <c r="M883" s="38"/>
      <c r="N883" s="39"/>
    </row>
    <row r="884" spans="13:14">
      <c r="M884" s="38"/>
      <c r="N884" s="39"/>
    </row>
    <row r="885" spans="13:14">
      <c r="M885" s="38"/>
      <c r="N885" s="39"/>
    </row>
    <row r="886" spans="13:14">
      <c r="M886" s="38"/>
      <c r="N886" s="39"/>
    </row>
    <row r="887" spans="13:14">
      <c r="M887" s="38"/>
      <c r="N887" s="39"/>
    </row>
    <row r="888" spans="13:14">
      <c r="M888" s="38"/>
      <c r="N888" s="39"/>
    </row>
    <row r="889" spans="13:14">
      <c r="M889" s="38"/>
      <c r="N889" s="39"/>
    </row>
    <row r="890" spans="13:14">
      <c r="M890" s="38"/>
      <c r="N890" s="39"/>
    </row>
    <row r="891" spans="13:14">
      <c r="M891" s="38"/>
      <c r="N891" s="39"/>
    </row>
    <row r="892" spans="13:14">
      <c r="M892" s="38"/>
      <c r="N892" s="39"/>
    </row>
    <row r="893" spans="13:14">
      <c r="M893" s="38"/>
      <c r="N893" s="39"/>
    </row>
    <row r="894" spans="13:14">
      <c r="M894" s="38"/>
      <c r="N894" s="39"/>
    </row>
    <row r="895" spans="13:14">
      <c r="M895" s="38"/>
      <c r="N895" s="39"/>
    </row>
    <row r="896" spans="13:14">
      <c r="M896" s="38"/>
      <c r="N896" s="39"/>
    </row>
    <row r="897" spans="13:14">
      <c r="M897" s="38"/>
      <c r="N897" s="39"/>
    </row>
    <row r="898" spans="13:14">
      <c r="M898" s="38"/>
      <c r="N898" s="39"/>
    </row>
    <row r="899" spans="13:14">
      <c r="M899" s="38"/>
      <c r="N899" s="39"/>
    </row>
    <row r="900" spans="13:14">
      <c r="M900" s="38"/>
      <c r="N900" s="39"/>
    </row>
    <row r="901" spans="13:14">
      <c r="M901" s="38"/>
      <c r="N901" s="39"/>
    </row>
    <row r="902" spans="13:14">
      <c r="M902" s="38"/>
      <c r="N902" s="39"/>
    </row>
    <row r="903" spans="13:14">
      <c r="M903" s="38"/>
      <c r="N903" s="39"/>
    </row>
    <row r="904" spans="13:14">
      <c r="M904" s="38"/>
      <c r="N904" s="39"/>
    </row>
    <row r="905" spans="13:14">
      <c r="M905" s="38"/>
      <c r="N905" s="39"/>
    </row>
    <row r="906" spans="13:14">
      <c r="M906" s="38"/>
      <c r="N906" s="39"/>
    </row>
    <row r="907" spans="13:14">
      <c r="M907" s="38"/>
      <c r="N907" s="39"/>
    </row>
    <row r="908" spans="13:14">
      <c r="M908" s="38"/>
      <c r="N908" s="39"/>
    </row>
    <row r="909" spans="13:14">
      <c r="M909" s="38"/>
      <c r="N909" s="39"/>
    </row>
    <row r="910" spans="13:14">
      <c r="M910" s="38"/>
      <c r="N910" s="39"/>
    </row>
    <row r="911" spans="13:14">
      <c r="M911" s="38"/>
      <c r="N911" s="39"/>
    </row>
    <row r="912" spans="13:14">
      <c r="M912" s="38"/>
      <c r="N912" s="39"/>
    </row>
    <row r="913" spans="13:14">
      <c r="M913" s="38"/>
      <c r="N913" s="39"/>
    </row>
    <row r="914" spans="13:14">
      <c r="M914" s="38"/>
      <c r="N914" s="39"/>
    </row>
    <row r="915" spans="13:14">
      <c r="M915" s="38"/>
      <c r="N915" s="39"/>
    </row>
    <row r="916" spans="13:14">
      <c r="M916" s="38"/>
      <c r="N916" s="39"/>
    </row>
    <row r="917" spans="13:14">
      <c r="M917" s="38"/>
      <c r="N917" s="39"/>
    </row>
    <row r="918" spans="13:14">
      <c r="M918" s="38"/>
      <c r="N918" s="39"/>
    </row>
    <row r="919" spans="13:14">
      <c r="M919" s="38"/>
      <c r="N919" s="39"/>
    </row>
    <row r="920" spans="13:14">
      <c r="M920" s="38"/>
      <c r="N920" s="39"/>
    </row>
    <row r="921" spans="13:14">
      <c r="M921" s="38"/>
      <c r="N921" s="39"/>
    </row>
    <row r="922" spans="13:14">
      <c r="M922" s="38"/>
      <c r="N922" s="39"/>
    </row>
    <row r="923" spans="13:14">
      <c r="M923" s="38"/>
      <c r="N923" s="39"/>
    </row>
    <row r="924" spans="13:14">
      <c r="M924" s="38"/>
      <c r="N924" s="39"/>
    </row>
    <row r="925" spans="13:14">
      <c r="M925" s="38"/>
      <c r="N925" s="39"/>
    </row>
    <row r="926" spans="13:14">
      <c r="M926" s="38"/>
      <c r="N926" s="39"/>
    </row>
    <row r="927" spans="13:14">
      <c r="M927" s="38"/>
      <c r="N927" s="39"/>
    </row>
    <row r="928" spans="13:14">
      <c r="M928" s="38"/>
      <c r="N928" s="39"/>
    </row>
    <row r="929" spans="13:14">
      <c r="M929" s="38"/>
      <c r="N929" s="39"/>
    </row>
    <row r="930" spans="13:14">
      <c r="M930" s="38"/>
      <c r="N930" s="39"/>
    </row>
    <row r="931" spans="13:14">
      <c r="M931" s="38"/>
      <c r="N931" s="39"/>
    </row>
    <row r="932" spans="13:14">
      <c r="M932" s="38"/>
      <c r="N932" s="39"/>
    </row>
    <row r="933" spans="13:14">
      <c r="M933" s="38"/>
      <c r="N933" s="39"/>
    </row>
    <row r="934" spans="13:14">
      <c r="M934" s="38"/>
      <c r="N934" s="39"/>
    </row>
    <row r="935" spans="13:14">
      <c r="M935" s="38"/>
      <c r="N935" s="39"/>
    </row>
    <row r="936" spans="13:14">
      <c r="M936" s="38"/>
      <c r="N936" s="39"/>
    </row>
    <row r="937" spans="13:14">
      <c r="M937" s="38"/>
      <c r="N937" s="39"/>
    </row>
    <row r="938" spans="13:14">
      <c r="M938" s="38"/>
      <c r="N938" s="39"/>
    </row>
    <row r="939" spans="13:14">
      <c r="M939" s="38"/>
      <c r="N939" s="39"/>
    </row>
    <row r="940" spans="13:14">
      <c r="M940" s="38"/>
      <c r="N940" s="39"/>
    </row>
    <row r="941" spans="13:14">
      <c r="M941" s="38"/>
      <c r="N941" s="39"/>
    </row>
    <row r="942" spans="13:14">
      <c r="M942" s="38"/>
      <c r="N942" s="39"/>
    </row>
    <row r="943" spans="13:14">
      <c r="M943" s="38"/>
      <c r="N943" s="39"/>
    </row>
    <row r="944" spans="13:14">
      <c r="M944" s="38"/>
      <c r="N944" s="39"/>
    </row>
    <row r="945" spans="13:14">
      <c r="M945" s="38"/>
      <c r="N945" s="39"/>
    </row>
    <row r="946" spans="13:14">
      <c r="M946" s="38"/>
      <c r="N946" s="39"/>
    </row>
    <row r="947" spans="13:14">
      <c r="M947" s="38"/>
      <c r="N947" s="39"/>
    </row>
    <row r="948" spans="13:14">
      <c r="M948" s="38"/>
      <c r="N948" s="39"/>
    </row>
    <row r="949" spans="13:14">
      <c r="M949" s="38"/>
      <c r="N949" s="39"/>
    </row>
    <row r="950" spans="13:14">
      <c r="M950" s="38"/>
      <c r="N950" s="39"/>
    </row>
    <row r="951" spans="13:14">
      <c r="M951" s="38"/>
      <c r="N951" s="39"/>
    </row>
    <row r="952" spans="13:14">
      <c r="M952" s="38"/>
      <c r="N952" s="39"/>
    </row>
    <row r="953" spans="13:14">
      <c r="M953" s="38"/>
      <c r="N953" s="39"/>
    </row>
    <row r="954" spans="13:14">
      <c r="M954" s="38"/>
      <c r="N954" s="39"/>
    </row>
    <row r="955" spans="13:14">
      <c r="M955" s="38"/>
      <c r="N955" s="39"/>
    </row>
    <row r="956" spans="13:14">
      <c r="M956" s="38"/>
      <c r="N956" s="39"/>
    </row>
    <row r="957" spans="13:14">
      <c r="M957" s="38"/>
      <c r="N957" s="39"/>
    </row>
    <row r="958" spans="13:14">
      <c r="M958" s="38"/>
      <c r="N958" s="39"/>
    </row>
    <row r="959" spans="13:14">
      <c r="M959" s="38"/>
      <c r="N959" s="39"/>
    </row>
    <row r="960" spans="13:14">
      <c r="M960" s="38"/>
      <c r="N960" s="39"/>
    </row>
    <row r="961" spans="13:14">
      <c r="M961" s="38"/>
      <c r="N961" s="39"/>
    </row>
    <row r="962" spans="13:14">
      <c r="M962" s="38"/>
      <c r="N962" s="39"/>
    </row>
    <row r="963" spans="13:14">
      <c r="M963" s="38"/>
      <c r="N963" s="39"/>
    </row>
    <row r="964" spans="13:14">
      <c r="M964" s="38"/>
      <c r="N964" s="39"/>
    </row>
    <row r="965" spans="13:14">
      <c r="M965" s="38"/>
      <c r="N965" s="39"/>
    </row>
    <row r="966" spans="13:14">
      <c r="M966" s="38"/>
      <c r="N966" s="39"/>
    </row>
    <row r="967" spans="13:14">
      <c r="M967" s="38"/>
      <c r="N967" s="39"/>
    </row>
    <row r="968" spans="13:14">
      <c r="M968" s="38"/>
      <c r="N968" s="39"/>
    </row>
    <row r="969" spans="13:14">
      <c r="M969" s="38"/>
      <c r="N969" s="39"/>
    </row>
    <row r="970" spans="13:14">
      <c r="M970" s="38"/>
      <c r="N970" s="39"/>
    </row>
    <row r="971" spans="13:14">
      <c r="M971" s="38"/>
      <c r="N971" s="39"/>
    </row>
    <row r="972" spans="13:14">
      <c r="M972" s="38"/>
      <c r="N972" s="39"/>
    </row>
    <row r="973" spans="13:14">
      <c r="M973" s="38"/>
      <c r="N973" s="39"/>
    </row>
    <row r="974" spans="13:14">
      <c r="M974" s="38"/>
      <c r="N974" s="39"/>
    </row>
    <row r="975" spans="13:14">
      <c r="M975" s="38"/>
      <c r="N975" s="39"/>
    </row>
    <row r="976" spans="13:14">
      <c r="M976" s="38"/>
      <c r="N976" s="39"/>
    </row>
    <row r="977" spans="13:14">
      <c r="M977" s="38"/>
      <c r="N977" s="39"/>
    </row>
    <row r="978" spans="13:14">
      <c r="M978" s="38"/>
      <c r="N978" s="39"/>
    </row>
    <row r="979" spans="13:14">
      <c r="M979" s="38"/>
      <c r="N979" s="39"/>
    </row>
    <row r="980" spans="13:14">
      <c r="M980" s="38"/>
      <c r="N980" s="39"/>
    </row>
    <row r="981" spans="13:14">
      <c r="M981" s="38"/>
      <c r="N981" s="39"/>
    </row>
    <row r="982" spans="13:14">
      <c r="M982" s="38"/>
      <c r="N982" s="39"/>
    </row>
    <row r="983" spans="13:14">
      <c r="M983" s="38"/>
      <c r="N983" s="39"/>
    </row>
    <row r="984" spans="13:14">
      <c r="M984" s="38"/>
      <c r="N984" s="39"/>
    </row>
    <row r="985" spans="13:14">
      <c r="M985" s="38"/>
      <c r="N985" s="39"/>
    </row>
    <row r="986" spans="13:14">
      <c r="M986" s="38"/>
      <c r="N986" s="39"/>
    </row>
    <row r="987" spans="13:14">
      <c r="M987" s="38"/>
      <c r="N987" s="39"/>
    </row>
    <row r="988" spans="13:14">
      <c r="M988" s="38"/>
      <c r="N988" s="39"/>
    </row>
    <row r="989" spans="13:14">
      <c r="M989" s="38"/>
      <c r="N989" s="39"/>
    </row>
    <row r="990" spans="13:14">
      <c r="M990" s="38"/>
      <c r="N990" s="39"/>
    </row>
    <row r="991" spans="13:14">
      <c r="M991" s="38"/>
      <c r="N991" s="39"/>
    </row>
    <row r="992" spans="13:14">
      <c r="M992" s="38"/>
      <c r="N992" s="39"/>
    </row>
    <row r="993" spans="13:14">
      <c r="M993" s="38"/>
      <c r="N993" s="39"/>
    </row>
    <row r="994" spans="13:14">
      <c r="M994" s="38"/>
      <c r="N994" s="39"/>
    </row>
    <row r="995" spans="13:14">
      <c r="M995" s="38"/>
      <c r="N995" s="39"/>
    </row>
    <row r="996" spans="13:14">
      <c r="M996" s="38"/>
      <c r="N996" s="39"/>
    </row>
    <row r="997" spans="13:14">
      <c r="M997" s="38"/>
      <c r="N997" s="39"/>
    </row>
    <row r="998" spans="13:14">
      <c r="M998" s="38"/>
      <c r="N998" s="39"/>
    </row>
    <row r="999" spans="13:14">
      <c r="M999" s="38"/>
      <c r="N999" s="39"/>
    </row>
    <row r="1000" spans="13:14">
      <c r="M1000" s="38"/>
      <c r="N1000" s="39"/>
    </row>
    <row r="1001" spans="13:14">
      <c r="M1001" s="38"/>
      <c r="N1001" s="39"/>
    </row>
    <row r="1002" spans="13:14">
      <c r="M1002" s="38"/>
      <c r="N1002" s="39"/>
    </row>
    <row r="1003" spans="13:14">
      <c r="M1003" s="38"/>
      <c r="N1003" s="39"/>
    </row>
    <row r="1004" spans="13:14">
      <c r="M1004" s="38"/>
      <c r="N1004" s="39"/>
    </row>
    <row r="1005" spans="13:14">
      <c r="M1005" s="38"/>
      <c r="N1005" s="39"/>
    </row>
    <row r="1006" spans="13:14">
      <c r="M1006" s="38"/>
      <c r="N1006" s="39"/>
    </row>
    <row r="1007" spans="13:14">
      <c r="M1007" s="38"/>
      <c r="N1007" s="39"/>
    </row>
    <row r="1008" spans="13:14">
      <c r="M1008" s="38"/>
      <c r="N1008" s="39"/>
    </row>
    <row r="1009" spans="13:14">
      <c r="M1009" s="38"/>
      <c r="N1009" s="39"/>
    </row>
    <row r="1010" spans="13:14">
      <c r="M1010" s="38"/>
      <c r="N1010" s="39"/>
    </row>
    <row r="1011" spans="13:14">
      <c r="M1011" s="38"/>
      <c r="N1011" s="39"/>
    </row>
    <row r="1012" spans="13:14">
      <c r="M1012" s="38"/>
      <c r="N1012" s="39"/>
    </row>
    <row r="1013" spans="13:14">
      <c r="M1013" s="38"/>
      <c r="N1013" s="39"/>
    </row>
    <row r="1014" spans="13:14">
      <c r="M1014" s="38"/>
      <c r="N1014" s="39"/>
    </row>
    <row r="1015" spans="13:14">
      <c r="M1015" s="38"/>
      <c r="N1015" s="39"/>
    </row>
    <row r="1016" spans="13:14">
      <c r="M1016" s="38"/>
      <c r="N1016" s="39"/>
    </row>
    <row r="1017" spans="13:14">
      <c r="M1017" s="38"/>
      <c r="N1017" s="39"/>
    </row>
    <row r="1018" spans="13:14">
      <c r="M1018" s="38"/>
      <c r="N1018" s="39"/>
    </row>
    <row r="1019" spans="13:14">
      <c r="M1019" s="38"/>
      <c r="N1019" s="39"/>
    </row>
    <row r="1020" spans="13:14">
      <c r="M1020" s="38"/>
      <c r="N1020" s="39"/>
    </row>
    <row r="1021" spans="13:14">
      <c r="M1021" s="38"/>
      <c r="N1021" s="39"/>
    </row>
    <row r="1022" spans="13:14">
      <c r="M1022" s="38"/>
      <c r="N1022" s="39"/>
    </row>
    <row r="1023" spans="13:14">
      <c r="M1023" s="38"/>
      <c r="N1023" s="39"/>
    </row>
    <row r="1024" spans="13:14">
      <c r="M1024" s="38"/>
      <c r="N1024" s="39"/>
    </row>
    <row r="1025" spans="13:14">
      <c r="M1025" s="38"/>
      <c r="N1025" s="39"/>
    </row>
    <row r="1026" spans="13:14">
      <c r="M1026" s="38"/>
      <c r="N1026" s="39"/>
    </row>
    <row r="1027" spans="13:14">
      <c r="M1027" s="38"/>
      <c r="N1027" s="39"/>
    </row>
    <row r="1028" spans="13:14">
      <c r="M1028" s="38"/>
      <c r="N1028" s="39"/>
    </row>
    <row r="1029" spans="13:14">
      <c r="M1029" s="38"/>
      <c r="N1029" s="39"/>
    </row>
    <row r="1030" spans="13:14">
      <c r="M1030" s="38"/>
      <c r="N1030" s="39"/>
    </row>
    <row r="1031" spans="13:14">
      <c r="M1031" s="38"/>
      <c r="N1031" s="39"/>
    </row>
    <row r="1032" spans="13:14">
      <c r="M1032" s="38"/>
      <c r="N1032" s="39"/>
    </row>
    <row r="1033" spans="13:14">
      <c r="M1033" s="38"/>
      <c r="N1033" s="39"/>
    </row>
    <row r="1034" spans="13:14">
      <c r="M1034" s="38"/>
      <c r="N1034" s="39"/>
    </row>
    <row r="1035" spans="13:14">
      <c r="M1035" s="38"/>
      <c r="N1035" s="39"/>
    </row>
    <row r="1036" spans="13:14">
      <c r="M1036" s="38"/>
      <c r="N1036" s="39"/>
    </row>
    <row r="1037" spans="13:14">
      <c r="M1037" s="38"/>
      <c r="N1037" s="39"/>
    </row>
    <row r="1038" spans="13:14">
      <c r="M1038" s="38"/>
      <c r="N1038" s="39"/>
    </row>
    <row r="1039" spans="13:14">
      <c r="M1039" s="38"/>
      <c r="N1039" s="39"/>
    </row>
    <row r="1040" spans="13:14">
      <c r="M1040" s="38"/>
      <c r="N1040" s="39"/>
    </row>
    <row r="1041" spans="13:14">
      <c r="M1041" s="38"/>
      <c r="N1041" s="39"/>
    </row>
    <row r="1042" spans="13:14">
      <c r="M1042" s="38"/>
      <c r="N1042" s="39"/>
    </row>
    <row r="1043" spans="13:14">
      <c r="M1043" s="38"/>
      <c r="N1043" s="39"/>
    </row>
    <row r="1044" spans="13:14">
      <c r="M1044" s="38"/>
      <c r="N1044" s="39"/>
    </row>
    <row r="1045" spans="13:14">
      <c r="M1045" s="38"/>
      <c r="N1045" s="39"/>
    </row>
    <row r="1046" spans="13:14">
      <c r="M1046" s="38"/>
      <c r="N1046" s="39"/>
    </row>
    <row r="1047" spans="13:14">
      <c r="M1047" s="38"/>
      <c r="N1047" s="39"/>
    </row>
    <row r="1048" spans="13:14">
      <c r="M1048" s="38"/>
      <c r="N1048" s="39"/>
    </row>
    <row r="1049" spans="13:14">
      <c r="M1049" s="38"/>
      <c r="N1049" s="39"/>
    </row>
    <row r="1050" spans="13:14">
      <c r="M1050" s="38"/>
      <c r="N1050" s="39"/>
    </row>
    <row r="1051" spans="13:14">
      <c r="M1051" s="38"/>
      <c r="N1051" s="39"/>
    </row>
    <row r="1052" spans="13:14">
      <c r="M1052" s="38"/>
      <c r="N1052" s="39"/>
    </row>
    <row r="1053" spans="13:14">
      <c r="M1053" s="38"/>
      <c r="N1053" s="39"/>
    </row>
    <row r="1054" spans="13:14">
      <c r="M1054" s="38"/>
      <c r="N1054" s="39"/>
    </row>
    <row r="1055" spans="13:14">
      <c r="M1055" s="38"/>
      <c r="N1055" s="39"/>
    </row>
    <row r="1056" spans="13:14">
      <c r="M1056" s="38"/>
      <c r="N1056" s="39"/>
    </row>
    <row r="1057" spans="13:14">
      <c r="M1057" s="38"/>
      <c r="N1057" s="39"/>
    </row>
    <row r="1058" spans="13:14">
      <c r="M1058" s="38"/>
      <c r="N1058" s="39"/>
    </row>
    <row r="1059" spans="13:14">
      <c r="M1059" s="38"/>
      <c r="N1059" s="39"/>
    </row>
    <row r="1060" spans="13:14">
      <c r="M1060" s="38"/>
      <c r="N1060" s="39"/>
    </row>
    <row r="1061" spans="13:14">
      <c r="M1061" s="38"/>
      <c r="N1061" s="39"/>
    </row>
    <row r="1062" spans="13:14">
      <c r="M1062" s="38"/>
      <c r="N1062" s="39"/>
    </row>
    <row r="1063" spans="13:14">
      <c r="M1063" s="38"/>
      <c r="N1063" s="39"/>
    </row>
    <row r="1064" spans="13:14">
      <c r="M1064" s="38"/>
      <c r="N1064" s="39"/>
    </row>
    <row r="1065" spans="13:14">
      <c r="M1065" s="38"/>
      <c r="N1065" s="39"/>
    </row>
    <row r="1066" spans="13:14">
      <c r="M1066" s="38"/>
      <c r="N1066" s="39"/>
    </row>
    <row r="1067" spans="13:14">
      <c r="M1067" s="38"/>
      <c r="N1067" s="39"/>
    </row>
    <row r="1068" spans="13:14">
      <c r="M1068" s="38"/>
      <c r="N1068" s="39"/>
    </row>
    <row r="1069" spans="13:14">
      <c r="M1069" s="38"/>
      <c r="N1069" s="39"/>
    </row>
    <row r="1070" spans="13:14">
      <c r="M1070" s="38"/>
      <c r="N1070" s="39"/>
    </row>
    <row r="1071" spans="13:14">
      <c r="M1071" s="38"/>
      <c r="N1071" s="39"/>
    </row>
    <row r="1072" spans="13:14">
      <c r="M1072" s="38"/>
      <c r="N1072" s="39"/>
    </row>
    <row r="1073" spans="13:14">
      <c r="M1073" s="38"/>
      <c r="N1073" s="39"/>
    </row>
    <row r="1074" spans="13:14">
      <c r="M1074" s="38"/>
      <c r="N1074" s="39"/>
    </row>
    <row r="1075" spans="13:14">
      <c r="M1075" s="38"/>
      <c r="N1075" s="39"/>
    </row>
    <row r="1076" spans="13:14">
      <c r="M1076" s="38"/>
      <c r="N1076" s="39"/>
    </row>
    <row r="1077" spans="13:14">
      <c r="M1077" s="38"/>
      <c r="N1077" s="39"/>
    </row>
    <row r="1078" spans="13:14">
      <c r="M1078" s="38"/>
      <c r="N1078" s="39"/>
    </row>
    <row r="1079" spans="13:14">
      <c r="M1079" s="38"/>
      <c r="N1079" s="39"/>
    </row>
    <row r="1080" spans="13:14">
      <c r="M1080" s="38"/>
      <c r="N1080" s="39"/>
    </row>
    <row r="1081" spans="13:14">
      <c r="M1081" s="38"/>
      <c r="N1081" s="39"/>
    </row>
    <row r="1082" spans="13:14">
      <c r="M1082" s="38"/>
      <c r="N1082" s="39"/>
    </row>
    <row r="1083" spans="13:14">
      <c r="M1083" s="38"/>
      <c r="N1083" s="39"/>
    </row>
    <row r="1084" spans="13:14">
      <c r="M1084" s="38"/>
      <c r="N1084" s="39"/>
    </row>
    <row r="1085" spans="13:14">
      <c r="M1085" s="38"/>
      <c r="N1085" s="39"/>
    </row>
    <row r="1086" spans="13:14">
      <c r="M1086" s="38"/>
      <c r="N1086" s="39"/>
    </row>
    <row r="1087" spans="13:14">
      <c r="M1087" s="38"/>
      <c r="N1087" s="39"/>
    </row>
    <row r="1088" spans="13:14">
      <c r="M1088" s="38"/>
      <c r="N1088" s="39"/>
    </row>
    <row r="1089" spans="13:14">
      <c r="M1089" s="38"/>
      <c r="N1089" s="39"/>
    </row>
    <row r="1090" spans="13:14">
      <c r="M1090" s="38"/>
      <c r="N1090" s="39"/>
    </row>
    <row r="1091" spans="13:14">
      <c r="M1091" s="38"/>
      <c r="N1091" s="39"/>
    </row>
    <row r="1092" spans="13:14">
      <c r="M1092" s="38"/>
      <c r="N1092" s="39"/>
    </row>
    <row r="1093" spans="13:14">
      <c r="M1093" s="38"/>
      <c r="N1093" s="39"/>
    </row>
    <row r="1094" spans="13:14">
      <c r="M1094" s="38"/>
      <c r="N1094" s="39"/>
    </row>
    <row r="1095" spans="13:14">
      <c r="M1095" s="38"/>
      <c r="N1095" s="39"/>
    </row>
    <row r="1096" spans="13:14">
      <c r="M1096" s="38"/>
      <c r="N1096" s="39"/>
    </row>
    <row r="1097" spans="13:14">
      <c r="M1097" s="38"/>
      <c r="N1097" s="39"/>
    </row>
    <row r="1098" spans="13:14">
      <c r="M1098" s="38"/>
      <c r="N1098" s="39"/>
    </row>
    <row r="1099" spans="13:14">
      <c r="M1099" s="38"/>
      <c r="N1099" s="39"/>
    </row>
    <row r="1100" spans="13:14">
      <c r="M1100" s="38"/>
      <c r="N1100" s="39"/>
    </row>
    <row r="1101" spans="13:14">
      <c r="M1101" s="38"/>
      <c r="N1101" s="39"/>
    </row>
    <row r="1102" spans="13:14">
      <c r="M1102" s="38"/>
      <c r="N1102" s="39"/>
    </row>
    <row r="1103" spans="13:14">
      <c r="M1103" s="38"/>
      <c r="N1103" s="39"/>
    </row>
    <row r="1104" spans="13:14">
      <c r="M1104" s="38"/>
      <c r="N1104" s="39"/>
    </row>
    <row r="1105" spans="13:14">
      <c r="M1105" s="38"/>
      <c r="N1105" s="39"/>
    </row>
    <row r="1106" spans="13:14">
      <c r="M1106" s="38"/>
      <c r="N1106" s="39"/>
    </row>
    <row r="1107" spans="13:14">
      <c r="M1107" s="38"/>
      <c r="N1107" s="39"/>
    </row>
    <row r="1108" spans="13:14">
      <c r="M1108" s="38"/>
      <c r="N1108" s="39"/>
    </row>
    <row r="1109" spans="13:14">
      <c r="M1109" s="38"/>
      <c r="N1109" s="39"/>
    </row>
    <row r="1110" spans="13:14">
      <c r="M1110" s="38"/>
      <c r="N1110" s="39"/>
    </row>
    <row r="1111" spans="13:14">
      <c r="M1111" s="38"/>
      <c r="N1111" s="39"/>
    </row>
    <row r="1112" spans="13:14">
      <c r="M1112" s="38"/>
      <c r="N1112" s="39"/>
    </row>
    <row r="1113" spans="13:14">
      <c r="M1113" s="38"/>
      <c r="N1113" s="39"/>
    </row>
    <row r="1114" spans="13:14">
      <c r="M1114" s="38"/>
      <c r="N1114" s="39"/>
    </row>
    <row r="1115" spans="13:14">
      <c r="M1115" s="38"/>
      <c r="N1115" s="39"/>
    </row>
    <row r="1116" spans="13:14">
      <c r="M1116" s="38"/>
      <c r="N1116" s="39"/>
    </row>
    <row r="1117" spans="13:14">
      <c r="M1117" s="38"/>
      <c r="N1117" s="39"/>
    </row>
    <row r="1118" spans="13:14">
      <c r="M1118" s="38"/>
      <c r="N1118" s="39"/>
    </row>
    <row r="1119" spans="13:14">
      <c r="M1119" s="38"/>
      <c r="N1119" s="39"/>
    </row>
    <row r="1120" spans="13:14">
      <c r="M1120" s="38"/>
      <c r="N1120" s="39"/>
    </row>
    <row r="1121" spans="13:14">
      <c r="M1121" s="38"/>
      <c r="N1121" s="39"/>
    </row>
    <row r="1122" spans="13:14">
      <c r="M1122" s="38"/>
      <c r="N1122" s="39"/>
    </row>
    <row r="1123" spans="13:14">
      <c r="M1123" s="38"/>
      <c r="N1123" s="39"/>
    </row>
    <row r="1124" spans="13:14">
      <c r="M1124" s="38"/>
      <c r="N1124" s="39"/>
    </row>
    <row r="1125" spans="13:14">
      <c r="M1125" s="38"/>
      <c r="N1125" s="39"/>
    </row>
    <row r="1126" spans="13:14">
      <c r="M1126" s="38"/>
      <c r="N1126" s="39"/>
    </row>
    <row r="1127" spans="13:14">
      <c r="M1127" s="38"/>
      <c r="N1127" s="39"/>
    </row>
    <row r="1128" spans="13:14">
      <c r="M1128" s="38"/>
      <c r="N1128" s="39"/>
    </row>
    <row r="1129" spans="13:14">
      <c r="M1129" s="38"/>
      <c r="N1129" s="39"/>
    </row>
    <row r="1130" spans="13:14">
      <c r="M1130" s="38"/>
      <c r="N1130" s="39"/>
    </row>
    <row r="1131" spans="13:14">
      <c r="M1131" s="38"/>
      <c r="N1131" s="39"/>
    </row>
    <row r="1132" spans="13:14">
      <c r="M1132" s="38"/>
      <c r="N1132" s="39"/>
    </row>
    <row r="1133" spans="13:14">
      <c r="M1133" s="38"/>
      <c r="N1133" s="39"/>
    </row>
    <row r="1134" spans="13:14">
      <c r="M1134" s="38"/>
      <c r="N1134" s="39"/>
    </row>
    <row r="1135" spans="13:14">
      <c r="M1135" s="38"/>
      <c r="N1135" s="39"/>
    </row>
    <row r="1136" spans="13:14">
      <c r="M1136" s="38"/>
      <c r="N1136" s="39"/>
    </row>
    <row r="1137" spans="13:14">
      <c r="M1137" s="38"/>
      <c r="N1137" s="39"/>
    </row>
    <row r="1138" spans="13:14">
      <c r="M1138" s="38"/>
      <c r="N1138" s="39"/>
    </row>
    <row r="1139" spans="13:14">
      <c r="M1139" s="38"/>
      <c r="N1139" s="39"/>
    </row>
    <row r="1140" spans="13:14">
      <c r="M1140" s="38"/>
      <c r="N1140" s="39"/>
    </row>
    <row r="1141" spans="13:14">
      <c r="M1141" s="38"/>
      <c r="N1141" s="39"/>
    </row>
    <row r="1142" spans="13:14">
      <c r="M1142" s="38"/>
      <c r="N1142" s="39"/>
    </row>
    <row r="1143" spans="13:14">
      <c r="M1143" s="38"/>
      <c r="N1143" s="39"/>
    </row>
    <row r="1144" spans="13:14">
      <c r="M1144" s="38"/>
      <c r="N1144" s="39"/>
    </row>
    <row r="1145" spans="13:14">
      <c r="M1145" s="38"/>
      <c r="N1145" s="39"/>
    </row>
    <row r="1146" spans="13:14">
      <c r="M1146" s="38"/>
      <c r="N1146" s="39"/>
    </row>
    <row r="1147" spans="13:14">
      <c r="M1147" s="38"/>
      <c r="N1147" s="39"/>
    </row>
    <row r="1148" spans="13:14">
      <c r="M1148" s="38"/>
      <c r="N1148" s="39"/>
    </row>
    <row r="1149" spans="13:14">
      <c r="M1149" s="38"/>
      <c r="N1149" s="39"/>
    </row>
    <row r="1150" spans="13:14">
      <c r="M1150" s="38"/>
      <c r="N1150" s="39"/>
    </row>
    <row r="1151" spans="13:14">
      <c r="M1151" s="38"/>
      <c r="N1151" s="39"/>
    </row>
    <row r="1152" spans="13:14">
      <c r="M1152" s="38"/>
      <c r="N1152" s="39"/>
    </row>
    <row r="1153" spans="13:14">
      <c r="M1153" s="38"/>
      <c r="N1153" s="39"/>
    </row>
    <row r="1154" spans="13:14">
      <c r="M1154" s="38"/>
      <c r="N1154" s="39"/>
    </row>
    <row r="1155" spans="13:14">
      <c r="M1155" s="38"/>
      <c r="N1155" s="39"/>
    </row>
    <row r="1156" spans="13:14">
      <c r="M1156" s="38"/>
      <c r="N1156" s="39"/>
    </row>
    <row r="1157" spans="13:14">
      <c r="M1157" s="38"/>
      <c r="N1157" s="39"/>
    </row>
    <row r="1158" spans="13:14">
      <c r="M1158" s="38"/>
      <c r="N1158" s="39"/>
    </row>
    <row r="1159" spans="13:14">
      <c r="M1159" s="38"/>
      <c r="N1159" s="39"/>
    </row>
    <row r="1160" spans="13:14">
      <c r="M1160" s="38"/>
      <c r="N1160" s="39"/>
    </row>
  </sheetData>
  <mergeCells count="5">
    <mergeCell ref="B2:N2"/>
    <mergeCell ref="G3:N3"/>
    <mergeCell ref="J5:K5"/>
    <mergeCell ref="J6:K6"/>
    <mergeCell ref="B8:K28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">
    <tabColor rgb="FF002060"/>
  </sheetPr>
  <dimension ref="C1:S46"/>
  <sheetViews>
    <sheetView showGridLines="0" topLeftCell="A31" workbookViewId="0">
      <selection activeCell="J42" sqref="J42"/>
    </sheetView>
  </sheetViews>
  <sheetFormatPr defaultColWidth="9.140625" defaultRowHeight="15.75"/>
  <cols>
    <col min="1" max="7" width="9.140625" style="1"/>
    <col min="8" max="8" width="17.5703125" style="1" customWidth="1"/>
    <col min="9" max="9" width="20.85546875" style="1" customWidth="1"/>
    <col min="10" max="10" width="17.7109375" style="1" bestFit="1" customWidth="1"/>
    <col min="11" max="11" width="12.28515625" style="1" customWidth="1"/>
    <col min="12" max="12" width="12" style="1" customWidth="1"/>
    <col min="13" max="16384" width="9.140625" style="1"/>
  </cols>
  <sheetData>
    <row r="1" spans="3:19" ht="16.5" thickBot="1"/>
    <row r="2" spans="3:19" ht="21" thickTop="1">
      <c r="C2" s="272" t="s">
        <v>150</v>
      </c>
      <c r="D2" s="273"/>
      <c r="E2" s="273"/>
      <c r="F2" s="273"/>
      <c r="G2" s="273"/>
      <c r="H2" s="273"/>
      <c r="I2" s="273"/>
      <c r="J2" s="273"/>
      <c r="K2" s="274"/>
      <c r="M2" s="73"/>
      <c r="N2" s="73"/>
      <c r="O2" s="73"/>
      <c r="P2" s="73"/>
      <c r="Q2" s="73"/>
      <c r="R2" s="74"/>
      <c r="S2" s="74"/>
    </row>
    <row r="3" spans="3:19" ht="16.5" thickBot="1">
      <c r="C3" s="46" t="s">
        <v>146</v>
      </c>
      <c r="D3" s="47"/>
      <c r="E3" s="48" t="str">
        <f>'CALCUL RPA'!$D$3</f>
        <v>Vers 1.5.1</v>
      </c>
      <c r="F3" s="49"/>
      <c r="G3" s="49"/>
      <c r="H3" s="50"/>
      <c r="I3" s="49"/>
      <c r="J3" s="47"/>
      <c r="K3" s="72"/>
      <c r="M3" s="75"/>
      <c r="N3" s="76"/>
      <c r="O3" s="77"/>
      <c r="P3" s="78"/>
      <c r="Q3" s="78"/>
      <c r="R3" s="74"/>
      <c r="S3" s="74"/>
    </row>
    <row r="4" spans="3:19" ht="16.5" thickTop="1">
      <c r="M4" s="74"/>
      <c r="N4" s="74"/>
      <c r="O4" s="74"/>
      <c r="P4" s="74"/>
      <c r="Q4" s="74"/>
      <c r="R4" s="74"/>
      <c r="S4" s="74"/>
    </row>
    <row r="5" spans="3:19">
      <c r="D5" s="364" t="s">
        <v>3</v>
      </c>
      <c r="E5" s="365"/>
      <c r="F5" s="365"/>
      <c r="G5" s="365"/>
      <c r="H5" s="365"/>
      <c r="I5" s="134" t="str">
        <f>Données!D6</f>
        <v>I</v>
      </c>
      <c r="M5" s="74"/>
      <c r="N5" s="74"/>
      <c r="O5" s="74"/>
      <c r="P5" s="74"/>
      <c r="Q5" s="74"/>
      <c r="R5" s="74"/>
      <c r="S5" s="74"/>
    </row>
    <row r="6" spans="3:19">
      <c r="D6" s="346" t="s">
        <v>0</v>
      </c>
      <c r="E6" s="347"/>
      <c r="F6" s="347"/>
      <c r="G6" s="347"/>
      <c r="H6" s="347"/>
      <c r="I6" s="134">
        <f>Données!E6</f>
        <v>2</v>
      </c>
    </row>
    <row r="7" spans="3:19">
      <c r="D7" s="346" t="s">
        <v>1</v>
      </c>
      <c r="E7" s="347"/>
      <c r="F7" s="347"/>
      <c r="G7" s="347"/>
      <c r="H7" s="347"/>
      <c r="I7" s="134" t="str">
        <f>Données!F6</f>
        <v>S1</v>
      </c>
    </row>
    <row r="8" spans="3:19">
      <c r="D8" s="341" t="s">
        <v>4</v>
      </c>
      <c r="E8" s="366"/>
      <c r="F8" s="366"/>
      <c r="G8" s="366"/>
      <c r="H8" s="367"/>
      <c r="I8" s="135">
        <f>'CALCUL RPA'!G19</f>
        <v>7.0000000000000007E-2</v>
      </c>
    </row>
    <row r="9" spans="3:19">
      <c r="D9" s="341" t="s">
        <v>131</v>
      </c>
      <c r="E9" s="366"/>
      <c r="F9" s="366"/>
      <c r="G9" s="366"/>
      <c r="H9" s="367"/>
      <c r="I9" s="136">
        <f>'CALCUL RPA'!$C$105</f>
        <v>0.76376261582597338</v>
      </c>
    </row>
    <row r="10" spans="3:19">
      <c r="D10" s="346" t="s">
        <v>127</v>
      </c>
      <c r="E10" s="347"/>
      <c r="F10" s="347"/>
      <c r="G10" s="347"/>
      <c r="H10" s="347"/>
      <c r="I10" s="135">
        <f>Données!G6</f>
        <v>1.2</v>
      </c>
    </row>
    <row r="11" spans="3:19">
      <c r="D11" s="346" t="s">
        <v>128</v>
      </c>
      <c r="E11" s="347"/>
      <c r="F11" s="347"/>
      <c r="G11" s="347"/>
      <c r="H11" s="347"/>
      <c r="I11" s="135">
        <f>Données!H6</f>
        <v>1.2</v>
      </c>
    </row>
    <row r="12" spans="3:19">
      <c r="D12" s="346" t="s">
        <v>140</v>
      </c>
      <c r="E12" s="347"/>
      <c r="F12" s="347"/>
      <c r="G12" s="347"/>
      <c r="H12" s="347"/>
      <c r="I12" s="135">
        <f>'CALCUL RPA'!$D$60</f>
        <v>0.85</v>
      </c>
    </row>
    <row r="13" spans="3:19">
      <c r="D13" s="346" t="s">
        <v>141</v>
      </c>
      <c r="E13" s="347"/>
      <c r="F13" s="347"/>
      <c r="G13" s="347"/>
      <c r="H13" s="347"/>
      <c r="I13" s="135">
        <f>'CALCUL RPA'!$D$61</f>
        <v>0.85</v>
      </c>
    </row>
    <row r="14" spans="3:19">
      <c r="D14" s="362" t="s">
        <v>125</v>
      </c>
      <c r="E14" s="363"/>
      <c r="F14" s="363"/>
      <c r="G14" s="363"/>
      <c r="H14" s="363"/>
      <c r="I14" s="154">
        <f>'CALCUL RPA'!H8</f>
        <v>4.5</v>
      </c>
      <c r="J14" s="70"/>
      <c r="K14" s="71"/>
      <c r="L14" s="71"/>
      <c r="M14" s="71"/>
      <c r="N14" s="71"/>
      <c r="O14" s="71"/>
      <c r="P14" s="71"/>
      <c r="Q14" s="71"/>
      <c r="R14" s="71"/>
      <c r="S14" s="71"/>
    </row>
    <row r="15" spans="3:19">
      <c r="D15" s="348" t="s">
        <v>90</v>
      </c>
      <c r="E15" s="349"/>
      <c r="F15" s="349"/>
      <c r="G15" s="349"/>
      <c r="H15" s="349"/>
      <c r="I15" s="137" t="str">
        <f>'CALCUL RPA'!E96</f>
        <v>b</v>
      </c>
      <c r="J15" s="40"/>
      <c r="K15" s="40"/>
      <c r="L15" s="40"/>
      <c r="M15" s="40"/>
      <c r="N15" s="40"/>
      <c r="O15" s="40"/>
      <c r="P15" s="40"/>
      <c r="Q15" s="40"/>
      <c r="R15" s="40"/>
      <c r="S15" s="40"/>
    </row>
    <row r="16" spans="3:19">
      <c r="D16" s="356" t="str">
        <f>'CALCUL RPA'!F96&amp;" : "&amp;'CALCUL RPA'!C11</f>
        <v>Type de systèm : 4- Système à contreventement mixte, équivalent à des voiles</v>
      </c>
      <c r="E16" s="357"/>
      <c r="F16" s="357"/>
      <c r="G16" s="357"/>
      <c r="H16" s="357"/>
      <c r="I16" s="358"/>
      <c r="J16" s="40"/>
      <c r="K16" s="40"/>
      <c r="L16" s="40"/>
      <c r="M16" s="40"/>
      <c r="N16" s="40"/>
      <c r="O16" s="40"/>
      <c r="P16" s="40"/>
      <c r="Q16" s="40"/>
      <c r="R16" s="40"/>
      <c r="S16" s="40"/>
    </row>
    <row r="17" spans="4:19" ht="32.25" customHeight="1">
      <c r="D17" s="359" t="str">
        <f>IF('CALCUL RPA'!N8="OUI"," ",'CALCUL RPA'!C97)</f>
        <v xml:space="preserve"> Remarque : Assurez-Vous que ce système est une possibilité Système à ossature à noyau ou à effet noyau</v>
      </c>
      <c r="E17" s="360"/>
      <c r="F17" s="360"/>
      <c r="G17" s="360"/>
      <c r="H17" s="360"/>
      <c r="I17" s="361"/>
      <c r="J17" s="40"/>
      <c r="K17" s="40"/>
      <c r="L17" s="40"/>
      <c r="M17" s="40"/>
      <c r="N17" s="40"/>
      <c r="O17" s="40"/>
      <c r="P17" s="40"/>
      <c r="Q17" s="40"/>
      <c r="R17" s="40"/>
      <c r="S17" s="40"/>
    </row>
    <row r="18" spans="4:19">
      <c r="D18" s="362" t="s">
        <v>126</v>
      </c>
      <c r="E18" s="363"/>
      <c r="F18" s="363"/>
      <c r="G18" s="363"/>
      <c r="H18" s="363"/>
      <c r="I18" s="154">
        <f>'CALCUL RPA'!I8</f>
        <v>4.5</v>
      </c>
      <c r="J18" s="40"/>
      <c r="K18" s="40"/>
      <c r="L18" s="40"/>
      <c r="M18" s="40"/>
      <c r="N18" s="40"/>
      <c r="O18" s="40"/>
      <c r="P18" s="40"/>
      <c r="Q18" s="40"/>
      <c r="R18" s="40"/>
      <c r="S18" s="40"/>
    </row>
    <row r="19" spans="4:19">
      <c r="D19" s="348" t="s">
        <v>90</v>
      </c>
      <c r="E19" s="349"/>
      <c r="F19" s="349"/>
      <c r="G19" s="349"/>
      <c r="H19" s="349"/>
      <c r="I19" s="137" t="str">
        <f>'CALCUL RPA'!$E$99</f>
        <v>b</v>
      </c>
      <c r="J19" s="40"/>
      <c r="K19" s="40"/>
      <c r="L19" s="40"/>
      <c r="M19" s="40"/>
      <c r="N19" s="40"/>
      <c r="O19" s="40"/>
      <c r="P19" s="40"/>
      <c r="Q19" s="40"/>
      <c r="R19" s="40"/>
      <c r="S19" s="40"/>
    </row>
    <row r="20" spans="4:19">
      <c r="D20" s="350" t="str">
        <f>'CALCUL RPA'!F99&amp;" : "&amp;'CALCUL RPA'!C12</f>
        <v>Type de systèm : 4- Système à contreventement mixte, équivalent à des voiles</v>
      </c>
      <c r="E20" s="351"/>
      <c r="F20" s="351"/>
      <c r="G20" s="351"/>
      <c r="H20" s="351"/>
      <c r="I20" s="352"/>
      <c r="J20" s="40"/>
      <c r="K20" s="40"/>
      <c r="L20" s="40"/>
      <c r="M20" s="40"/>
      <c r="N20" s="40"/>
      <c r="O20" s="40"/>
      <c r="P20" s="40"/>
      <c r="Q20" s="40"/>
      <c r="R20" s="40"/>
      <c r="S20" s="40"/>
    </row>
    <row r="21" spans="4:19" ht="32.25" customHeight="1">
      <c r="D21" s="353" t="str">
        <f>IF('CALCUL RPA'!N8="OUI"," ",'CALCUL RPA'!C100)</f>
        <v xml:space="preserve"> Remarque : Assurez-Vous que ce système est une possibilité Système à ossature à noyau ou à effet noyau</v>
      </c>
      <c r="E21" s="354"/>
      <c r="F21" s="354"/>
      <c r="G21" s="354"/>
      <c r="H21" s="354"/>
      <c r="I21" s="355"/>
      <c r="J21" s="40"/>
      <c r="K21" s="40"/>
      <c r="L21" s="40"/>
      <c r="M21" s="40"/>
      <c r="N21" s="40"/>
      <c r="O21" s="40"/>
      <c r="P21" s="40"/>
      <c r="Q21" s="40"/>
      <c r="R21" s="40"/>
      <c r="S21" s="40"/>
    </row>
    <row r="22" spans="4:19" ht="32.25" customHeight="1">
      <c r="D22" s="160"/>
      <c r="E22" s="161"/>
      <c r="F22" s="161"/>
      <c r="G22" s="161"/>
      <c r="H22" s="161"/>
      <c r="I22" s="162"/>
      <c r="J22" s="40"/>
      <c r="K22" s="40"/>
      <c r="L22" s="40"/>
      <c r="M22" s="40"/>
      <c r="N22" s="40"/>
      <c r="O22" s="40"/>
      <c r="P22" s="40"/>
      <c r="Q22" s="40"/>
      <c r="R22" s="40"/>
      <c r="S22" s="40"/>
    </row>
    <row r="23" spans="4:19" ht="32.25" customHeight="1">
      <c r="D23" s="163"/>
      <c r="E23" s="164"/>
      <c r="F23" s="164"/>
      <c r="G23" s="164"/>
      <c r="H23" s="164"/>
      <c r="I23" s="165"/>
      <c r="J23" s="40"/>
      <c r="K23" s="40"/>
      <c r="L23" s="40"/>
      <c r="M23" s="40"/>
      <c r="N23" s="40"/>
      <c r="O23" s="40"/>
      <c r="P23" s="40"/>
      <c r="Q23" s="40"/>
      <c r="R23" s="40"/>
      <c r="S23" s="40"/>
    </row>
    <row r="24" spans="4:19" ht="32.25" customHeight="1">
      <c r="D24" s="163"/>
      <c r="E24" s="164"/>
      <c r="F24" s="164"/>
      <c r="G24" s="164"/>
      <c r="H24" s="164"/>
      <c r="I24" s="165"/>
      <c r="J24" s="40"/>
      <c r="K24" s="40"/>
      <c r="L24" s="40"/>
      <c r="M24" s="40"/>
      <c r="N24" s="40"/>
      <c r="O24" s="40"/>
      <c r="P24" s="40"/>
      <c r="Q24" s="40"/>
      <c r="R24" s="40"/>
      <c r="S24" s="40"/>
    </row>
    <row r="25" spans="4:19" ht="32.25" customHeight="1">
      <c r="D25" s="163"/>
      <c r="E25" s="164"/>
      <c r="F25" s="164"/>
      <c r="G25" s="164"/>
      <c r="H25" s="164"/>
      <c r="I25" s="165"/>
      <c r="J25" s="40"/>
      <c r="K25" s="40"/>
      <c r="L25" s="40"/>
      <c r="M25" s="40"/>
      <c r="N25" s="40"/>
      <c r="O25" s="40"/>
      <c r="P25" s="40"/>
      <c r="Q25" s="40"/>
      <c r="R25" s="40"/>
      <c r="S25" s="40"/>
    </row>
    <row r="26" spans="4:19" ht="32.25" customHeight="1">
      <c r="D26" s="163"/>
      <c r="E26" s="164"/>
      <c r="F26" s="164"/>
      <c r="G26" s="164"/>
      <c r="H26" s="164"/>
      <c r="I26" s="165"/>
      <c r="J26" s="40"/>
      <c r="K26" s="40"/>
      <c r="L26" s="40"/>
      <c r="M26" s="40"/>
      <c r="N26" s="40"/>
      <c r="O26" s="40"/>
      <c r="P26" s="40"/>
      <c r="Q26" s="40"/>
      <c r="R26" s="40"/>
      <c r="S26" s="40"/>
    </row>
    <row r="27" spans="4:19" ht="32.25" customHeight="1">
      <c r="D27" s="163"/>
      <c r="E27" s="164"/>
      <c r="F27" s="164"/>
      <c r="G27" s="164"/>
      <c r="H27" s="164"/>
      <c r="I27" s="165"/>
      <c r="J27" s="40"/>
      <c r="K27" s="40"/>
      <c r="L27" s="40"/>
      <c r="M27" s="40"/>
      <c r="N27" s="40"/>
      <c r="O27" s="40"/>
      <c r="P27" s="40"/>
      <c r="Q27" s="40"/>
      <c r="R27" s="40"/>
      <c r="S27" s="40"/>
    </row>
    <row r="28" spans="4:19" ht="32.25" customHeight="1">
      <c r="D28" s="166"/>
      <c r="E28" s="167"/>
      <c r="F28" s="167"/>
      <c r="G28" s="167"/>
      <c r="H28" s="167"/>
      <c r="I28" s="168"/>
      <c r="J28" s="40"/>
      <c r="K28" s="40"/>
      <c r="L28" s="40"/>
      <c r="M28" s="40"/>
      <c r="N28" s="40"/>
      <c r="O28" s="40"/>
      <c r="P28" s="40"/>
      <c r="Q28" s="40"/>
      <c r="R28" s="40"/>
      <c r="S28" s="40"/>
    </row>
    <row r="29" spans="4:19">
      <c r="D29" s="368" t="s">
        <v>70</v>
      </c>
      <c r="E29" s="369"/>
      <c r="F29" s="369"/>
      <c r="G29" s="369"/>
      <c r="H29" s="369"/>
      <c r="I29" s="159">
        <f>'CALCUL RPA'!D55</f>
        <v>0.38700000000000001</v>
      </c>
    </row>
    <row r="30" spans="4:19">
      <c r="D30" s="346" t="s">
        <v>161</v>
      </c>
      <c r="E30" s="347"/>
      <c r="F30" s="347"/>
      <c r="G30" s="347"/>
      <c r="H30" s="347"/>
      <c r="I30" s="135">
        <f>'CALCUL RPA'!$F$55</f>
        <v>0.5</v>
      </c>
    </row>
    <row r="31" spans="4:19">
      <c r="D31" s="346" t="s">
        <v>116</v>
      </c>
      <c r="E31" s="347"/>
      <c r="F31" s="347"/>
      <c r="G31" s="347"/>
      <c r="H31" s="347"/>
      <c r="I31" s="135">
        <f>'CALCUL RPA'!I55</f>
        <v>0.5</v>
      </c>
    </row>
    <row r="32" spans="4:19">
      <c r="D32" s="346" t="s">
        <v>117</v>
      </c>
      <c r="E32" s="347"/>
      <c r="F32" s="347"/>
      <c r="G32" s="347"/>
      <c r="H32" s="347"/>
      <c r="I32" s="135">
        <f>'CALCUL RPA'!I56</f>
        <v>0.5</v>
      </c>
    </row>
    <row r="33" spans="4:12">
      <c r="D33" s="341" t="s">
        <v>77</v>
      </c>
      <c r="E33" s="342"/>
      <c r="F33" s="342"/>
      <c r="G33" s="342"/>
      <c r="H33" s="343"/>
      <c r="I33" s="136">
        <f>'CALCUL RPA'!D65</f>
        <v>2.3E-2</v>
      </c>
      <c r="K33" s="6"/>
    </row>
    <row r="34" spans="4:12">
      <c r="D34" s="341" t="s">
        <v>78</v>
      </c>
      <c r="E34" s="342"/>
      <c r="F34" s="342"/>
      <c r="G34" s="342"/>
      <c r="H34" s="343"/>
      <c r="I34" s="136">
        <f>'CALCUL RPA'!D66</f>
        <v>2.3E-2</v>
      </c>
      <c r="K34" s="6"/>
    </row>
    <row r="35" spans="4:12">
      <c r="D35" s="133"/>
      <c r="E35" s="37"/>
      <c r="F35" s="37"/>
      <c r="G35" s="37"/>
      <c r="H35" s="37"/>
      <c r="I35" s="9"/>
    </row>
    <row r="36" spans="4:12">
      <c r="D36" s="346" t="s">
        <v>75</v>
      </c>
      <c r="E36" s="347"/>
      <c r="F36" s="347"/>
      <c r="G36" s="347"/>
      <c r="H36" s="347"/>
      <c r="I36" s="135">
        <f>'CALCUL RPA'!D73</f>
        <v>486.22</v>
      </c>
    </row>
    <row r="37" spans="4:12">
      <c r="D37" s="346" t="s">
        <v>76</v>
      </c>
      <c r="E37" s="347"/>
      <c r="F37" s="347"/>
      <c r="G37" s="347"/>
      <c r="H37" s="347"/>
      <c r="I37" s="135">
        <f>'CALCUL RPA'!D74</f>
        <v>486.22</v>
      </c>
    </row>
    <row r="38" spans="4:12">
      <c r="D38" s="346" t="s">
        <v>222</v>
      </c>
      <c r="E38" s="347"/>
      <c r="F38" s="347"/>
      <c r="G38" s="347"/>
      <c r="H38" s="347"/>
      <c r="I38" s="169">
        <f>Données!$J$14+Données!$L$14</f>
        <v>442.02</v>
      </c>
      <c r="L38" s="4"/>
    </row>
    <row r="39" spans="4:12">
      <c r="D39" s="346" t="s">
        <v>223</v>
      </c>
      <c r="E39" s="347"/>
      <c r="F39" s="347"/>
      <c r="G39" s="347"/>
      <c r="H39" s="347"/>
      <c r="I39" s="169">
        <f>Données!$K$14+Données!$M$14</f>
        <v>460.05</v>
      </c>
      <c r="L39" s="4"/>
    </row>
    <row r="40" spans="4:12">
      <c r="D40" s="37"/>
      <c r="E40" s="37"/>
      <c r="F40" s="37"/>
      <c r="G40" s="37"/>
      <c r="H40" s="37"/>
    </row>
    <row r="41" spans="4:12">
      <c r="D41" s="10"/>
      <c r="E41" s="10"/>
      <c r="J41" s="215" t="s">
        <v>86</v>
      </c>
    </row>
    <row r="42" spans="4:12" ht="34.5" customHeight="1">
      <c r="D42" s="344" t="s">
        <v>5</v>
      </c>
      <c r="E42" s="344"/>
      <c r="F42" s="345" t="str">
        <f>IF(I38&gt;=0.8*I36,"Vxd="&amp;" " &amp; ROUND(I38,2)&amp;"&gt; 80%Vx=" &amp; " " &amp; ROUND(80%*I36,2),"Vxd="&amp;" " &amp; ROUND(I38,2)&amp;" &lt; 80%Vx=" &amp; " " &amp; ROUND(80%*I36,2))</f>
        <v>Vxd= 442.02&gt; 80%Vx= 388.98</v>
      </c>
      <c r="G42" s="345"/>
      <c r="H42" s="345"/>
      <c r="I42" s="2" t="str">
        <f>IF(I38&gt;80%*I36,"Condition Vérifiée","Condition Non Vérifiée")</f>
        <v>Condition Vérifiée</v>
      </c>
      <c r="J42" s="188">
        <f>IF(0.8*I36&gt;I38,0.8*I36/I38,0)</f>
        <v>0</v>
      </c>
    </row>
    <row r="43" spans="4:12" ht="35.25" customHeight="1">
      <c r="D43" s="344" t="s">
        <v>6</v>
      </c>
      <c r="E43" s="344"/>
      <c r="F43" s="345" t="str">
        <f>IF(I39&gt;=0.8*I37,"Vyd="&amp;" " &amp; ROUND(I39,2)&amp;" &gt; 80%Vy=" &amp; " " &amp; ROUND(80%*I37,2),"Vyd="&amp;" " &amp; ROUND(I39,2)&amp;" &lt; 80%Vy=" &amp; " " &amp; ROUND(80%*I37,2))</f>
        <v>Vyd= 460.05 &gt; 80%Vy= 388.98</v>
      </c>
      <c r="G43" s="345"/>
      <c r="H43" s="345"/>
      <c r="I43" s="2" t="str">
        <f>IF(I39 &gt;= 80%*I37,"Condition Vérifiée","Condition Non Vérifiée")</f>
        <v>Condition Vérifiée</v>
      </c>
      <c r="J43" s="188">
        <f>IF(0.8*I37&gt;I39,0.8*I37/I39,0)</f>
        <v>0</v>
      </c>
    </row>
    <row r="46" spans="4:12">
      <c r="F46" s="340"/>
      <c r="G46" s="340"/>
      <c r="H46" s="340"/>
      <c r="I46" s="3"/>
    </row>
  </sheetData>
  <mergeCells count="33">
    <mergeCell ref="D11:H11"/>
    <mergeCell ref="D30:H30"/>
    <mergeCell ref="C2:K2"/>
    <mergeCell ref="D5:H5"/>
    <mergeCell ref="D6:H6"/>
    <mergeCell ref="D7:H7"/>
    <mergeCell ref="D8:H8"/>
    <mergeCell ref="D29:H29"/>
    <mergeCell ref="D9:H9"/>
    <mergeCell ref="D10:H10"/>
    <mergeCell ref="D33:H33"/>
    <mergeCell ref="D12:H12"/>
    <mergeCell ref="D13:H13"/>
    <mergeCell ref="D19:H19"/>
    <mergeCell ref="D31:H31"/>
    <mergeCell ref="D32:H32"/>
    <mergeCell ref="D20:I20"/>
    <mergeCell ref="D21:I21"/>
    <mergeCell ref="D15:H15"/>
    <mergeCell ref="D16:I16"/>
    <mergeCell ref="D17:I17"/>
    <mergeCell ref="D18:H18"/>
    <mergeCell ref="D14:H14"/>
    <mergeCell ref="F46:H46"/>
    <mergeCell ref="D34:H34"/>
    <mergeCell ref="D42:E42"/>
    <mergeCell ref="D43:E43"/>
    <mergeCell ref="F42:H42"/>
    <mergeCell ref="F43:H43"/>
    <mergeCell ref="D36:H36"/>
    <mergeCell ref="D38:H38"/>
    <mergeCell ref="D39:H39"/>
    <mergeCell ref="D37:H37"/>
  </mergeCells>
  <conditionalFormatting sqref="J42:J43">
    <cfRule type="cellIs" dxfId="47" priority="6" operator="greaterThan">
      <formula>0</formula>
    </cfRule>
  </conditionalFormatting>
  <conditionalFormatting sqref="I42">
    <cfRule type="cellIs" dxfId="46" priority="3" operator="equal">
      <formula>"Condition Non Vérifiée"</formula>
    </cfRule>
    <cfRule type="cellIs" dxfId="45" priority="5" operator="equal">
      <formula>"Condition Vérifiée"</formula>
    </cfRule>
  </conditionalFormatting>
  <conditionalFormatting sqref="I43">
    <cfRule type="cellIs" dxfId="44" priority="4" operator="equal">
      <formula>"Condition Vérifiée"</formula>
    </cfRule>
  </conditionalFormatting>
  <conditionalFormatting sqref="I43">
    <cfRule type="cellIs" dxfId="43" priority="1" operator="equal">
      <formula>"Condition Non Vérifiée"</formula>
    </cfRule>
    <cfRule type="cellIs" dxfId="42" priority="2" operator="equal">
      <formula>"Condition Vérifiée"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>
    <tabColor rgb="FF002060"/>
  </sheetPr>
  <dimension ref="C1:U27"/>
  <sheetViews>
    <sheetView showGridLines="0" topLeftCell="B1" workbookViewId="0">
      <selection activeCell="E7" sqref="E7:H11"/>
    </sheetView>
  </sheetViews>
  <sheetFormatPr defaultColWidth="9.140625" defaultRowHeight="15.75"/>
  <cols>
    <col min="1" max="3" width="9.140625" style="1"/>
    <col min="4" max="4" width="7.140625" style="1" customWidth="1"/>
    <col min="5" max="8" width="14.7109375" style="1" customWidth="1"/>
    <col min="9" max="10" width="11.85546875" style="1" customWidth="1"/>
    <col min="11" max="11" width="25.28515625" style="1" customWidth="1"/>
    <col min="12" max="16384" width="9.140625" style="1"/>
  </cols>
  <sheetData>
    <row r="1" spans="3:21" ht="16.5" thickBot="1"/>
    <row r="2" spans="3:21" ht="21" thickTop="1">
      <c r="C2" s="272" t="s">
        <v>207</v>
      </c>
      <c r="D2" s="273"/>
      <c r="E2" s="273"/>
      <c r="F2" s="273"/>
      <c r="G2" s="273"/>
      <c r="H2" s="273"/>
      <c r="I2" s="273"/>
      <c r="J2" s="273"/>
      <c r="K2" s="274"/>
    </row>
    <row r="3" spans="3:21" ht="16.5" thickBot="1">
      <c r="C3" s="46" t="s">
        <v>146</v>
      </c>
      <c r="D3" s="49"/>
      <c r="E3" s="48" t="str">
        <f>'CALCUL RPA'!$D$3</f>
        <v>Vers 1.5.1</v>
      </c>
      <c r="F3" s="49"/>
      <c r="G3" s="48"/>
      <c r="H3" s="49"/>
      <c r="I3" s="47"/>
      <c r="J3" s="47"/>
      <c r="K3" s="51"/>
    </row>
    <row r="4" spans="3:21" ht="17.25" thickTop="1" thickBot="1"/>
    <row r="5" spans="3:21" ht="17.25" thickTop="1" thickBot="1">
      <c r="C5" s="41"/>
      <c r="D5" s="41"/>
      <c r="E5" s="372" t="s">
        <v>208</v>
      </c>
      <c r="F5" s="372"/>
      <c r="G5" s="372" t="s">
        <v>209</v>
      </c>
      <c r="H5" s="372"/>
      <c r="I5" s="373"/>
      <c r="J5" s="373"/>
      <c r="K5" s="218"/>
    </row>
    <row r="6" spans="3:21" ht="21" customHeight="1" thickTop="1" thickBot="1">
      <c r="C6" s="138" t="s">
        <v>81</v>
      </c>
      <c r="D6" s="138" t="s">
        <v>98</v>
      </c>
      <c r="E6" s="138" t="s">
        <v>210</v>
      </c>
      <c r="F6" s="138" t="s">
        <v>211</v>
      </c>
      <c r="G6" s="138" t="s">
        <v>210</v>
      </c>
      <c r="H6" s="138" t="s">
        <v>211</v>
      </c>
      <c r="I6" s="138" t="s">
        <v>212</v>
      </c>
      <c r="J6" s="138" t="s">
        <v>213</v>
      </c>
      <c r="K6" s="138" t="s">
        <v>214</v>
      </c>
    </row>
    <row r="7" spans="3:21" ht="18" thickTop="1" thickBot="1">
      <c r="C7" s="183">
        <f>Données!D14</f>
        <v>1</v>
      </c>
      <c r="D7" s="219">
        <f>IF(Données!F14=0," ",Données!F14)</f>
        <v>3.06</v>
      </c>
      <c r="E7" s="224">
        <v>2.8000000000000001E-2</v>
      </c>
      <c r="F7" s="224">
        <v>2.5000000000000001E-2</v>
      </c>
      <c r="G7" s="185">
        <v>2.9000000000000001E-2</v>
      </c>
      <c r="H7" s="185">
        <v>3.4000000000000002E-2</v>
      </c>
      <c r="I7" s="221">
        <f>IF(D7=" "," ",ABS((G7-E7)/E7))</f>
        <v>3.5714285714285747E-2</v>
      </c>
      <c r="J7" s="221">
        <f>IF(D7=" "," ",ABS((H7-F7)/F7))</f>
        <v>0.36000000000000004</v>
      </c>
      <c r="K7" s="225" t="str">
        <f>IF(D7=" "," ",IF(AND(I7&lt;=10%,J7&lt;=10%),"DIAPHRAGME REGIDE","DIAPHRAGME FLEXIBLE"))</f>
        <v>DIAPHRAGME FLEXIBLE</v>
      </c>
    </row>
    <row r="8" spans="3:21" ht="18" thickTop="1" thickBot="1">
      <c r="C8" s="183">
        <f>Données!D15</f>
        <v>2</v>
      </c>
      <c r="D8" s="219">
        <f>IF(Données!F15=0," ",Données!F15)</f>
        <v>3.06</v>
      </c>
      <c r="E8" s="224">
        <v>4.7E-2</v>
      </c>
      <c r="F8" s="224">
        <v>4.2999999999999997E-2</v>
      </c>
      <c r="G8" s="185">
        <v>4.8000000000000001E-2</v>
      </c>
      <c r="H8" s="185">
        <v>4.9000000000000002E-2</v>
      </c>
      <c r="I8" s="221">
        <f t="shared" ref="I8:I26" si="0">IF(D8=" "," ",ABS((G8-E8)/E8))</f>
        <v>2.1276595744680871E-2</v>
      </c>
      <c r="J8" s="221">
        <f t="shared" ref="J8:J26" si="1">IF(D8=" "," ",ABS((H8-F8)/F8))</f>
        <v>0.13953488372093037</v>
      </c>
      <c r="K8" s="225" t="str">
        <f t="shared" ref="K8:K26" si="2">IF(D8=" "," ",IF(AND(I8&lt;=10%,J8&lt;=10%),"DIAPHRAGME REGIDE","DIAPHRAGME FLEXIBLE"))</f>
        <v>DIAPHRAGME FLEXIBLE</v>
      </c>
    </row>
    <row r="9" spans="3:21" ht="18" thickTop="1" thickBot="1">
      <c r="C9" s="183">
        <f>Données!D16</f>
        <v>3</v>
      </c>
      <c r="D9" s="219">
        <f>IF(Données!F16=0," ",Données!F16)</f>
        <v>3.06</v>
      </c>
      <c r="E9" s="224">
        <v>4.8000000000000001E-2</v>
      </c>
      <c r="F9" s="224">
        <v>4.3999999999999997E-2</v>
      </c>
      <c r="G9" s="185">
        <v>4.9000000000000002E-2</v>
      </c>
      <c r="H9" s="185">
        <v>4.4999999999999998E-2</v>
      </c>
      <c r="I9" s="221">
        <f t="shared" si="0"/>
        <v>2.0833333333333353E-2</v>
      </c>
      <c r="J9" s="221">
        <f t="shared" si="1"/>
        <v>2.2727272727272749E-2</v>
      </c>
      <c r="K9" s="225" t="str">
        <f t="shared" si="2"/>
        <v>DIAPHRAGME REGIDE</v>
      </c>
    </row>
    <row r="10" spans="3:21" ht="18" thickTop="1" thickBot="1">
      <c r="C10" s="183">
        <f>Données!D17</f>
        <v>4</v>
      </c>
      <c r="D10" s="219">
        <f>IF(Données!F17=0," ",Données!F17)</f>
        <v>3.06</v>
      </c>
      <c r="E10" s="224">
        <v>4.1000000000000002E-2</v>
      </c>
      <c r="F10" s="224">
        <v>3.9E-2</v>
      </c>
      <c r="G10" s="185">
        <v>4.1000000000000002E-2</v>
      </c>
      <c r="H10" s="185">
        <v>3.5999999999999997E-2</v>
      </c>
      <c r="I10" s="221">
        <f t="shared" si="0"/>
        <v>0</v>
      </c>
      <c r="J10" s="221">
        <f t="shared" si="1"/>
        <v>7.6923076923076997E-2</v>
      </c>
      <c r="K10" s="225" t="str">
        <f t="shared" si="2"/>
        <v>DIAPHRAGME REGIDE</v>
      </c>
    </row>
    <row r="11" spans="3:21" ht="18" thickTop="1" thickBot="1">
      <c r="C11" s="183">
        <f>Données!D18</f>
        <v>5</v>
      </c>
      <c r="D11" s="219">
        <f>IF(Données!F18=0," ",Données!F18)</f>
        <v>3.06</v>
      </c>
      <c r="E11" s="224">
        <v>3.3000000000000002E-2</v>
      </c>
      <c r="F11" s="224">
        <v>3.3000000000000002E-2</v>
      </c>
      <c r="G11" s="185">
        <v>2.9000000000000001E-2</v>
      </c>
      <c r="H11" s="185">
        <v>1.6E-2</v>
      </c>
      <c r="I11" s="221">
        <f t="shared" si="0"/>
        <v>0.12121212121212122</v>
      </c>
      <c r="J11" s="221">
        <f t="shared" si="1"/>
        <v>0.51515151515151514</v>
      </c>
      <c r="K11" s="225" t="str">
        <f t="shared" si="2"/>
        <v>DIAPHRAGME FLEXIBLE</v>
      </c>
    </row>
    <row r="12" spans="3:21" ht="17.25" thickTop="1" thickBot="1">
      <c r="C12" s="183" t="str">
        <f>Données!D19</f>
        <v xml:space="preserve"> </v>
      </c>
      <c r="D12" s="219" t="str">
        <f>IF(Données!F19=0," ",Données!F19)</f>
        <v xml:space="preserve"> </v>
      </c>
      <c r="E12" s="224"/>
      <c r="F12" s="224"/>
      <c r="G12" s="220"/>
      <c r="H12" s="220"/>
      <c r="I12" s="221" t="str">
        <f t="shared" si="0"/>
        <v xml:space="preserve"> </v>
      </c>
      <c r="J12" s="221" t="str">
        <f t="shared" si="1"/>
        <v xml:space="preserve"> </v>
      </c>
      <c r="K12" s="225" t="str">
        <f t="shared" si="2"/>
        <v xml:space="preserve"> </v>
      </c>
    </row>
    <row r="13" spans="3:21" ht="17.25" thickTop="1" thickBot="1">
      <c r="C13" s="183" t="str">
        <f>Données!D20</f>
        <v xml:space="preserve"> </v>
      </c>
      <c r="D13" s="219" t="str">
        <f>IF(Données!F20=0," ",Données!F20)</f>
        <v xml:space="preserve"> </v>
      </c>
      <c r="E13" s="224"/>
      <c r="F13" s="224"/>
      <c r="G13" s="220"/>
      <c r="H13" s="220"/>
      <c r="I13" s="221" t="str">
        <f t="shared" si="0"/>
        <v xml:space="preserve"> </v>
      </c>
      <c r="J13" s="221" t="str">
        <f t="shared" si="1"/>
        <v xml:space="preserve"> </v>
      </c>
      <c r="K13" s="225" t="str">
        <f t="shared" si="2"/>
        <v xml:space="preserve"> </v>
      </c>
    </row>
    <row r="14" spans="3:21" ht="17.25" thickTop="1" thickBot="1">
      <c r="C14" s="183" t="str">
        <f>Données!D21</f>
        <v xml:space="preserve"> </v>
      </c>
      <c r="D14" s="219" t="str">
        <f>IF(Données!F21=0," ",Données!F21)</f>
        <v xml:space="preserve"> </v>
      </c>
      <c r="E14" s="224"/>
      <c r="F14" s="224"/>
      <c r="G14" s="220"/>
      <c r="H14" s="220"/>
      <c r="I14" s="221" t="str">
        <f t="shared" si="0"/>
        <v xml:space="preserve"> </v>
      </c>
      <c r="J14" s="221" t="str">
        <f t="shared" si="1"/>
        <v xml:space="preserve"> </v>
      </c>
      <c r="K14" s="225" t="str">
        <f t="shared" si="2"/>
        <v xml:space="preserve"> </v>
      </c>
    </row>
    <row r="15" spans="3:21" ht="17.25" thickTop="1" thickBot="1">
      <c r="C15" s="183" t="str">
        <f>Données!D22</f>
        <v xml:space="preserve"> </v>
      </c>
      <c r="D15" s="219" t="str">
        <f>IF(Données!F22=0," ",Données!F22)</f>
        <v xml:space="preserve"> </v>
      </c>
      <c r="E15" s="224"/>
      <c r="F15" s="224"/>
      <c r="G15" s="220"/>
      <c r="H15" s="220"/>
      <c r="I15" s="221" t="str">
        <f t="shared" si="0"/>
        <v xml:space="preserve"> </v>
      </c>
      <c r="J15" s="221" t="str">
        <f t="shared" si="1"/>
        <v xml:space="preserve"> </v>
      </c>
      <c r="K15" s="225" t="str">
        <f t="shared" si="2"/>
        <v xml:space="preserve"> </v>
      </c>
    </row>
    <row r="16" spans="3:21" ht="17.25" thickTop="1" thickBot="1">
      <c r="C16" s="183" t="str">
        <f>Données!D23</f>
        <v xml:space="preserve"> </v>
      </c>
      <c r="D16" s="219" t="str">
        <f>IF(Données!F23=0," ",Données!F23)</f>
        <v xml:space="preserve"> </v>
      </c>
      <c r="E16" s="224"/>
      <c r="F16" s="224"/>
      <c r="G16" s="220"/>
      <c r="H16" s="220"/>
      <c r="I16" s="221" t="str">
        <f t="shared" si="0"/>
        <v xml:space="preserve"> </v>
      </c>
      <c r="J16" s="221" t="str">
        <f t="shared" si="1"/>
        <v xml:space="preserve"> </v>
      </c>
      <c r="K16" s="225" t="str">
        <f t="shared" si="2"/>
        <v xml:space="preserve"> </v>
      </c>
      <c r="M16" s="370" t="s">
        <v>224</v>
      </c>
      <c r="N16" s="370"/>
      <c r="O16" s="370"/>
      <c r="P16" s="370"/>
      <c r="Q16" s="370"/>
      <c r="R16" s="370"/>
      <c r="S16" s="371" t="s">
        <v>226</v>
      </c>
      <c r="T16" s="371"/>
      <c r="U16" s="371"/>
    </row>
    <row r="17" spans="3:21" ht="17.25" thickTop="1" thickBot="1">
      <c r="C17" s="183" t="str">
        <f>Données!D24</f>
        <v xml:space="preserve"> </v>
      </c>
      <c r="D17" s="219" t="str">
        <f>IF(Données!F24=0," ",Données!F24)</f>
        <v xml:space="preserve"> </v>
      </c>
      <c r="E17" s="224"/>
      <c r="F17" s="224"/>
      <c r="G17" s="220"/>
      <c r="H17" s="220"/>
      <c r="I17" s="221" t="str">
        <f t="shared" si="0"/>
        <v xml:space="preserve"> </v>
      </c>
      <c r="J17" s="221" t="str">
        <f t="shared" si="1"/>
        <v xml:space="preserve"> </v>
      </c>
      <c r="K17" s="225" t="str">
        <f t="shared" si="2"/>
        <v xml:space="preserve"> </v>
      </c>
      <c r="M17" s="370" t="s">
        <v>225</v>
      </c>
      <c r="N17" s="370"/>
      <c r="O17" s="370"/>
      <c r="P17" s="370"/>
      <c r="Q17" s="370"/>
      <c r="R17" s="370"/>
      <c r="S17" s="371" t="s">
        <v>227</v>
      </c>
      <c r="T17" s="371"/>
      <c r="U17" s="371"/>
    </row>
    <row r="18" spans="3:21" ht="17.25" thickTop="1" thickBot="1">
      <c r="C18" s="183" t="str">
        <f>Données!D25</f>
        <v xml:space="preserve"> </v>
      </c>
      <c r="D18" s="219" t="str">
        <f>IF(Données!F25=0," ",Données!F25)</f>
        <v xml:space="preserve"> </v>
      </c>
      <c r="E18" s="224"/>
      <c r="F18" s="224"/>
      <c r="G18" s="220"/>
      <c r="H18" s="220"/>
      <c r="I18" s="221" t="str">
        <f t="shared" si="0"/>
        <v xml:space="preserve"> </v>
      </c>
      <c r="J18" s="221" t="str">
        <f t="shared" si="1"/>
        <v xml:space="preserve"> </v>
      </c>
      <c r="K18" s="225" t="str">
        <f t="shared" si="2"/>
        <v xml:space="preserve"> </v>
      </c>
    </row>
    <row r="19" spans="3:21" ht="17.25" thickTop="1" thickBot="1">
      <c r="C19" s="183" t="str">
        <f>Données!D26</f>
        <v xml:space="preserve"> </v>
      </c>
      <c r="D19" s="219" t="str">
        <f>IF(Données!F26=0," ",Données!F26)</f>
        <v xml:space="preserve"> </v>
      </c>
      <c r="E19" s="224"/>
      <c r="F19" s="224"/>
      <c r="G19" s="220"/>
      <c r="H19" s="220"/>
      <c r="I19" s="221" t="str">
        <f t="shared" si="0"/>
        <v xml:space="preserve"> </v>
      </c>
      <c r="J19" s="221" t="str">
        <f t="shared" si="1"/>
        <v xml:space="preserve"> </v>
      </c>
      <c r="K19" s="225" t="str">
        <f t="shared" si="2"/>
        <v xml:space="preserve"> </v>
      </c>
    </row>
    <row r="20" spans="3:21" ht="17.25" thickTop="1" thickBot="1">
      <c r="C20" s="183" t="str">
        <f>Données!D27</f>
        <v xml:space="preserve"> </v>
      </c>
      <c r="D20" s="219" t="str">
        <f>IF(Données!F27=0," ",Données!F27)</f>
        <v xml:space="preserve"> </v>
      </c>
      <c r="E20" s="224"/>
      <c r="F20" s="224"/>
      <c r="G20" s="220"/>
      <c r="H20" s="220"/>
      <c r="I20" s="221" t="str">
        <f t="shared" si="0"/>
        <v xml:space="preserve"> </v>
      </c>
      <c r="J20" s="221" t="str">
        <f t="shared" si="1"/>
        <v xml:space="preserve"> </v>
      </c>
      <c r="K20" s="225" t="str">
        <f t="shared" si="2"/>
        <v xml:space="preserve"> </v>
      </c>
    </row>
    <row r="21" spans="3:21" ht="17.25" thickTop="1" thickBot="1">
      <c r="C21" s="183" t="str">
        <f>Données!D28</f>
        <v xml:space="preserve"> </v>
      </c>
      <c r="D21" s="219" t="str">
        <f>IF(Données!F28=0," ",Données!F28)</f>
        <v xml:space="preserve"> </v>
      </c>
      <c r="E21" s="224"/>
      <c r="F21" s="224"/>
      <c r="G21" s="220"/>
      <c r="H21" s="220"/>
      <c r="I21" s="221" t="str">
        <f t="shared" si="0"/>
        <v xml:space="preserve"> </v>
      </c>
      <c r="J21" s="221" t="str">
        <f t="shared" si="1"/>
        <v xml:space="preserve"> </v>
      </c>
      <c r="K21" s="225" t="str">
        <f t="shared" si="2"/>
        <v xml:space="preserve"> </v>
      </c>
    </row>
    <row r="22" spans="3:21" ht="17.25" thickTop="1" thickBot="1">
      <c r="C22" s="183" t="str">
        <f>Données!D29</f>
        <v xml:space="preserve"> </v>
      </c>
      <c r="D22" s="219" t="str">
        <f>IF(Données!F29=0," ",Données!F29)</f>
        <v xml:space="preserve"> </v>
      </c>
      <c r="E22" s="224"/>
      <c r="F22" s="224"/>
      <c r="G22" s="220"/>
      <c r="H22" s="220"/>
      <c r="I22" s="221" t="str">
        <f t="shared" si="0"/>
        <v xml:space="preserve"> </v>
      </c>
      <c r="J22" s="221" t="str">
        <f t="shared" si="1"/>
        <v xml:space="preserve"> </v>
      </c>
      <c r="K22" s="225" t="str">
        <f t="shared" si="2"/>
        <v xml:space="preserve"> </v>
      </c>
    </row>
    <row r="23" spans="3:21" ht="17.25" thickTop="1" thickBot="1">
      <c r="C23" s="183" t="str">
        <f>Données!D30</f>
        <v xml:space="preserve"> </v>
      </c>
      <c r="D23" s="219" t="str">
        <f>IF(Données!F30=0," ",Données!F30)</f>
        <v xml:space="preserve"> </v>
      </c>
      <c r="E23" s="224"/>
      <c r="F23" s="224"/>
      <c r="G23" s="220"/>
      <c r="H23" s="220"/>
      <c r="I23" s="221" t="str">
        <f t="shared" si="0"/>
        <v xml:space="preserve"> </v>
      </c>
      <c r="J23" s="221" t="str">
        <f t="shared" si="1"/>
        <v xml:space="preserve"> </v>
      </c>
      <c r="K23" s="225" t="str">
        <f t="shared" si="2"/>
        <v xml:space="preserve"> </v>
      </c>
    </row>
    <row r="24" spans="3:21" ht="17.25" thickTop="1" thickBot="1">
      <c r="C24" s="183" t="str">
        <f>Données!D31</f>
        <v xml:space="preserve"> </v>
      </c>
      <c r="D24" s="219" t="str">
        <f>IF(Données!F31=0," ",Données!F31)</f>
        <v xml:space="preserve"> </v>
      </c>
      <c r="E24" s="224"/>
      <c r="F24" s="224"/>
      <c r="G24" s="220"/>
      <c r="H24" s="220"/>
      <c r="I24" s="221" t="str">
        <f t="shared" si="0"/>
        <v xml:space="preserve"> </v>
      </c>
      <c r="J24" s="221" t="str">
        <f t="shared" si="1"/>
        <v xml:space="preserve"> </v>
      </c>
      <c r="K24" s="225" t="str">
        <f t="shared" si="2"/>
        <v xml:space="preserve"> </v>
      </c>
    </row>
    <row r="25" spans="3:21" ht="17.25" thickTop="1" thickBot="1">
      <c r="C25" s="183" t="str">
        <f>Données!D32</f>
        <v xml:space="preserve"> </v>
      </c>
      <c r="D25" s="219" t="str">
        <f>IF(Données!F32=0," ",Données!F32)</f>
        <v xml:space="preserve"> </v>
      </c>
      <c r="E25" s="224"/>
      <c r="F25" s="224"/>
      <c r="G25" s="220"/>
      <c r="H25" s="220"/>
      <c r="I25" s="221" t="str">
        <f t="shared" si="0"/>
        <v xml:space="preserve"> </v>
      </c>
      <c r="J25" s="221" t="str">
        <f t="shared" si="1"/>
        <v xml:space="preserve"> </v>
      </c>
      <c r="K25" s="225" t="str">
        <f t="shared" si="2"/>
        <v xml:space="preserve"> </v>
      </c>
    </row>
    <row r="26" spans="3:21" ht="17.25" thickTop="1" thickBot="1">
      <c r="C26" s="183" t="str">
        <f>Données!D33</f>
        <v xml:space="preserve"> </v>
      </c>
      <c r="D26" s="219" t="str">
        <f>IF(Données!F33=0," ",Données!F33)</f>
        <v xml:space="preserve"> </v>
      </c>
      <c r="E26" s="224"/>
      <c r="F26" s="224"/>
      <c r="G26" s="220"/>
      <c r="H26" s="220"/>
      <c r="I26" s="221" t="str">
        <f t="shared" si="0"/>
        <v xml:space="preserve"> </v>
      </c>
      <c r="J26" s="221" t="str">
        <f t="shared" si="1"/>
        <v xml:space="preserve"> </v>
      </c>
      <c r="K26" s="225" t="str">
        <f t="shared" si="2"/>
        <v xml:space="preserve"> </v>
      </c>
    </row>
    <row r="27" spans="3:21" ht="16.5" thickTop="1"/>
  </sheetData>
  <mergeCells count="8">
    <mergeCell ref="M17:R17"/>
    <mergeCell ref="S16:U16"/>
    <mergeCell ref="S17:U17"/>
    <mergeCell ref="C2:K2"/>
    <mergeCell ref="E5:F5"/>
    <mergeCell ref="G5:H5"/>
    <mergeCell ref="I5:J5"/>
    <mergeCell ref="M16:R16"/>
  </mergeCells>
  <conditionalFormatting sqref="I12:J12">
    <cfRule type="cellIs" dxfId="41" priority="8" stopIfTrue="1" operator="equal">
      <formula>"C.N.V"</formula>
    </cfRule>
    <cfRule type="cellIs" dxfId="40" priority="9" stopIfTrue="1" operator="equal">
      <formula>$I$12</formula>
    </cfRule>
  </conditionalFormatting>
  <conditionalFormatting sqref="K7:K26">
    <cfRule type="cellIs" dxfId="39" priority="2" operator="equal">
      <formula>"DIAPHRAGME FLEXIBLE"</formula>
    </cfRule>
    <cfRule type="cellIs" dxfId="38" priority="3" operator="equal">
      <formula>"DIAPHRAGME REGIDE"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3">
    <tabColor rgb="FF002060"/>
  </sheetPr>
  <dimension ref="C1:AC78"/>
  <sheetViews>
    <sheetView showGridLines="0" zoomScaleNormal="100" workbookViewId="0">
      <selection activeCell="E7" sqref="E7:I11"/>
    </sheetView>
  </sheetViews>
  <sheetFormatPr defaultColWidth="9.140625" defaultRowHeight="15.75"/>
  <cols>
    <col min="1" max="3" width="9.140625" style="1"/>
    <col min="4" max="4" width="9.7109375" style="1" customWidth="1"/>
    <col min="5" max="5" width="7.5703125" style="1" bestFit="1" customWidth="1"/>
    <col min="6" max="6" width="9.7109375" style="1" customWidth="1"/>
    <col min="7" max="7" width="10.5703125" style="1" bestFit="1" customWidth="1"/>
    <col min="8" max="8" width="10.42578125" style="1" bestFit="1" customWidth="1"/>
    <col min="9" max="9" width="13.7109375" style="1" bestFit="1" customWidth="1"/>
    <col min="10" max="10" width="12.28515625" style="1" bestFit="1" customWidth="1"/>
    <col min="11" max="11" width="11.5703125" style="1" bestFit="1" customWidth="1"/>
    <col min="12" max="12" width="13.7109375" style="1" bestFit="1" customWidth="1"/>
    <col min="13" max="14" width="9" style="1" customWidth="1"/>
    <col min="15" max="15" width="9.140625" style="1" customWidth="1"/>
    <col min="16" max="16" width="10.28515625" style="1" bestFit="1" customWidth="1"/>
    <col min="17" max="17" width="11.42578125" style="1" bestFit="1" customWidth="1"/>
    <col min="18" max="16384" width="9.140625" style="1"/>
  </cols>
  <sheetData>
    <row r="1" spans="3:29" ht="16.5" thickBot="1"/>
    <row r="2" spans="3:29" ht="21" thickTop="1">
      <c r="C2" s="272" t="s">
        <v>186</v>
      </c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73"/>
      <c r="P2" s="273"/>
      <c r="Q2" s="274"/>
      <c r="S2" s="204"/>
      <c r="T2" s="205"/>
      <c r="U2" s="205"/>
      <c r="V2" s="205"/>
      <c r="W2" s="205"/>
      <c r="X2" s="205"/>
      <c r="Y2" s="205"/>
      <c r="Z2" s="205"/>
      <c r="AA2" s="205"/>
      <c r="AB2" s="205"/>
      <c r="AC2" s="206"/>
    </row>
    <row r="3" spans="3:29" ht="16.5" thickBot="1">
      <c r="C3" s="46" t="s">
        <v>146</v>
      </c>
      <c r="D3" s="47"/>
      <c r="E3" s="48" t="str">
        <f>'CALCUL RPA'!$D$3</f>
        <v>Vers 1.5.1</v>
      </c>
      <c r="F3" s="49"/>
      <c r="G3" s="49"/>
      <c r="H3" s="49"/>
      <c r="I3" s="50"/>
      <c r="J3" s="50"/>
      <c r="K3" s="48"/>
      <c r="L3" s="49"/>
      <c r="M3" s="47"/>
      <c r="N3" s="47"/>
      <c r="O3" s="47"/>
      <c r="P3" s="47"/>
      <c r="Q3" s="51"/>
      <c r="S3" s="207"/>
      <c r="T3" s="31"/>
      <c r="U3" s="31"/>
      <c r="V3" s="31"/>
      <c r="W3" s="31"/>
      <c r="X3" s="31"/>
      <c r="Y3" s="31"/>
      <c r="Z3" s="31"/>
      <c r="AA3" s="31"/>
      <c r="AB3" s="31"/>
      <c r="AC3" s="208"/>
    </row>
    <row r="4" spans="3:29" ht="17.25" thickTop="1" thickBot="1">
      <c r="S4" s="207"/>
      <c r="T4" s="31"/>
      <c r="U4" s="31"/>
      <c r="V4" s="31"/>
      <c r="W4" s="31"/>
      <c r="X4" s="31"/>
      <c r="Y4" s="31"/>
      <c r="Z4" s="31"/>
      <c r="AA4" s="31"/>
      <c r="AB4" s="31"/>
      <c r="AC4" s="208"/>
    </row>
    <row r="5" spans="3:29" ht="20.25" thickTop="1" thickBot="1">
      <c r="C5" s="41"/>
      <c r="D5" s="376" t="s">
        <v>197</v>
      </c>
      <c r="E5" s="377"/>
      <c r="F5" s="197">
        <v>1000000</v>
      </c>
      <c r="G5" s="378" t="s">
        <v>200</v>
      </c>
      <c r="H5" s="379"/>
      <c r="I5" s="379"/>
      <c r="J5" s="379"/>
      <c r="K5" s="379"/>
      <c r="L5" s="379"/>
      <c r="M5" s="379"/>
      <c r="N5" s="379"/>
      <c r="O5" s="195" t="str">
        <f>IF(COUNTIF(P7:Q26,"C.N.V")&gt;0,"NON","OUI")</f>
        <v>NON</v>
      </c>
      <c r="P5" s="374" t="s">
        <v>199</v>
      </c>
      <c r="Q5" s="375"/>
      <c r="S5" s="207"/>
      <c r="T5" s="31"/>
      <c r="U5" s="31"/>
      <c r="V5" s="31"/>
      <c r="W5" s="31"/>
      <c r="X5" s="31"/>
      <c r="Y5" s="31"/>
      <c r="Z5" s="31"/>
      <c r="AA5" s="31"/>
      <c r="AB5" s="31"/>
      <c r="AC5" s="208"/>
    </row>
    <row r="6" spans="3:29" ht="21" customHeight="1" thickTop="1" thickBot="1">
      <c r="C6" s="138" t="s">
        <v>81</v>
      </c>
      <c r="D6" s="138" t="s">
        <v>98</v>
      </c>
      <c r="E6" s="138" t="s">
        <v>187</v>
      </c>
      <c r="F6" s="138" t="s">
        <v>188</v>
      </c>
      <c r="G6" s="194" t="s">
        <v>189</v>
      </c>
      <c r="H6" s="194" t="s">
        <v>195</v>
      </c>
      <c r="I6" s="194" t="s">
        <v>196</v>
      </c>
      <c r="J6" s="194" t="s">
        <v>190</v>
      </c>
      <c r="K6" s="194" t="s">
        <v>191</v>
      </c>
      <c r="L6" s="194" t="s">
        <v>192</v>
      </c>
      <c r="M6" s="194" t="s">
        <v>193</v>
      </c>
      <c r="N6" s="194" t="s">
        <v>194</v>
      </c>
      <c r="O6" s="194" t="s">
        <v>198</v>
      </c>
      <c r="P6" s="138" t="s">
        <v>5</v>
      </c>
      <c r="Q6" s="138" t="s">
        <v>6</v>
      </c>
      <c r="S6" s="207"/>
      <c r="T6" s="31"/>
      <c r="U6" s="31"/>
      <c r="V6" s="31"/>
      <c r="W6" s="31"/>
      <c r="X6" s="31"/>
      <c r="Y6" s="31"/>
      <c r="Z6" s="31"/>
      <c r="AA6" s="31"/>
      <c r="AB6" s="31"/>
      <c r="AC6" s="208"/>
    </row>
    <row r="7" spans="3:29" ht="17.25" thickTop="1" thickBot="1">
      <c r="C7" s="183">
        <f>Données!D14</f>
        <v>1</v>
      </c>
      <c r="D7" s="191">
        <f>IF(Données!E14=" "," ",SUM(Données!$F$14:'Données'!F14))</f>
        <v>3.06</v>
      </c>
      <c r="E7" s="43">
        <v>3.0030000000000001</v>
      </c>
      <c r="F7" s="43">
        <v>2.5870000000000002</v>
      </c>
      <c r="G7" s="45">
        <v>1.7000000000000001E-2</v>
      </c>
      <c r="H7" s="43">
        <v>513432.5</v>
      </c>
      <c r="I7" s="45">
        <v>46743242.549999997</v>
      </c>
      <c r="J7" s="193">
        <f t="shared" ref="J7:J26" si="0">IF(E7=0," ",$F$5/E7)</f>
        <v>333000.33300033299</v>
      </c>
      <c r="K7" s="193">
        <f t="shared" ref="K7:K26" si="1">IF(F7=0," ",$F$5/F7)</f>
        <v>386548.12524159253</v>
      </c>
      <c r="L7" s="193">
        <f t="shared" ref="L7:L26" si="2">IF(G7=0," ",$F$5/G7)</f>
        <v>58823529.411764704</v>
      </c>
      <c r="M7" s="196">
        <f>IF(F7=0," ",SQRT(L7/K7))</f>
        <v>12.335982757293207</v>
      </c>
      <c r="N7" s="196">
        <f>IF(E7=0," ",SQRT(L7/J7))</f>
        <v>13.290863735044816</v>
      </c>
      <c r="O7" s="196">
        <f>IF(H7=0," ",SQRT(I7/H7))</f>
        <v>9.5415238460228178</v>
      </c>
      <c r="P7" s="193" t="str">
        <f>IF(E7=0," ",IF(M7&lt;=O7,"C.V","C.N.V"))</f>
        <v>C.N.V</v>
      </c>
      <c r="Q7" s="193" t="str">
        <f>IF(E7=0," ",IF(N7&lt;=O7,"C.V","C.N.V"))</f>
        <v>C.N.V</v>
      </c>
      <c r="S7" s="207"/>
      <c r="T7" s="31"/>
      <c r="U7" s="31"/>
      <c r="V7" s="31"/>
      <c r="W7" s="31"/>
      <c r="X7" s="31"/>
      <c r="Y7" s="31"/>
      <c r="Z7" s="31"/>
      <c r="AA7" s="31"/>
      <c r="AB7" s="31"/>
      <c r="AC7" s="208"/>
    </row>
    <row r="8" spans="3:29" ht="17.25" thickTop="1" thickBot="1">
      <c r="C8" s="183">
        <f>Données!D15</f>
        <v>2</v>
      </c>
      <c r="D8" s="191">
        <f>IF(Données!E15=" "," ",SUM(Données!$F$14:'Données'!F15))</f>
        <v>6.12</v>
      </c>
      <c r="E8" s="43">
        <v>7.85</v>
      </c>
      <c r="F8" s="43">
        <v>6.6219999999999999</v>
      </c>
      <c r="G8" s="45">
        <v>4.5999999999999999E-2</v>
      </c>
      <c r="H8" s="43">
        <v>513432.5</v>
      </c>
      <c r="I8" s="45">
        <v>46743242.560000002</v>
      </c>
      <c r="J8" s="193">
        <f t="shared" si="0"/>
        <v>127388.53503184715</v>
      </c>
      <c r="K8" s="193">
        <f t="shared" si="1"/>
        <v>151011.77891875568</v>
      </c>
      <c r="L8" s="193">
        <f t="shared" si="2"/>
        <v>21739130.434782609</v>
      </c>
      <c r="M8" s="196">
        <f t="shared" ref="M8:M26" si="3">IF(F8=0," ",SQRT(L8/K8))</f>
        <v>11.998188269031722</v>
      </c>
      <c r="N8" s="196">
        <f t="shared" ref="N8:N26" si="4">IF(E8=0," ",SQRT(L8/J8))</f>
        <v>13.0633905978901</v>
      </c>
      <c r="O8" s="196">
        <f t="shared" ref="O8:O26" si="5">IF(H8=0," ",SQRT(I8/H8))</f>
        <v>9.5415238470434502</v>
      </c>
      <c r="P8" s="193" t="str">
        <f t="shared" ref="P8:P26" si="6">IF(E8=0," ",IF(M8&lt;=O8,"C.V","C.N.V"))</f>
        <v>C.N.V</v>
      </c>
      <c r="Q8" s="193" t="str">
        <f t="shared" ref="Q8:Q26" si="7">IF(E8=0," ",IF(N8&lt;=O8,"C.V","C.N.V"))</f>
        <v>C.N.V</v>
      </c>
      <c r="S8" s="207"/>
      <c r="T8" s="31"/>
      <c r="U8" s="31"/>
      <c r="V8" s="31"/>
      <c r="W8" s="31"/>
      <c r="X8" s="31"/>
      <c r="Y8" s="31"/>
      <c r="Z8" s="31"/>
      <c r="AA8" s="31"/>
      <c r="AB8" s="31"/>
      <c r="AC8" s="208"/>
    </row>
    <row r="9" spans="3:29" ht="17.25" thickTop="1" thickBot="1">
      <c r="C9" s="183">
        <f>Données!D16</f>
        <v>3</v>
      </c>
      <c r="D9" s="191">
        <f>IF(Données!E16=" "," ",SUM(Données!$F$14:'Données'!F16))</f>
        <v>9.18</v>
      </c>
      <c r="E9" s="43">
        <v>12.499000000000001</v>
      </c>
      <c r="F9" s="43">
        <v>10.534000000000001</v>
      </c>
      <c r="G9" s="45">
        <v>7.8E-2</v>
      </c>
      <c r="H9" s="192">
        <v>513432.5</v>
      </c>
      <c r="I9" s="45">
        <v>46743242.560000002</v>
      </c>
      <c r="J9" s="193">
        <f t="shared" si="0"/>
        <v>80006.400512040957</v>
      </c>
      <c r="K9" s="193">
        <f t="shared" si="1"/>
        <v>94930.70058857034</v>
      </c>
      <c r="L9" s="193">
        <f t="shared" si="2"/>
        <v>12820512.82051282</v>
      </c>
      <c r="M9" s="196">
        <f t="shared" si="3"/>
        <v>11.621156657204224</v>
      </c>
      <c r="N9" s="196">
        <f t="shared" si="4"/>
        <v>12.658735708734492</v>
      </c>
      <c r="O9" s="196">
        <f t="shared" si="5"/>
        <v>9.5415238470434502</v>
      </c>
      <c r="P9" s="193" t="str">
        <f t="shared" si="6"/>
        <v>C.N.V</v>
      </c>
      <c r="Q9" s="193" t="str">
        <f t="shared" si="7"/>
        <v>C.N.V</v>
      </c>
      <c r="S9" s="207"/>
      <c r="T9" s="31"/>
      <c r="U9" s="31"/>
      <c r="V9" s="31"/>
      <c r="W9" s="31"/>
      <c r="X9" s="31"/>
      <c r="Y9" s="31"/>
      <c r="Z9" s="31"/>
      <c r="AA9" s="31"/>
      <c r="AB9" s="31"/>
      <c r="AC9" s="208"/>
    </row>
    <row r="10" spans="3:29" ht="17.25" thickTop="1" thickBot="1">
      <c r="C10" s="183">
        <f>Données!D17</f>
        <v>4</v>
      </c>
      <c r="D10" s="191">
        <f>IF(Données!E17=" "," ",SUM(Données!$F$14:'Données'!F17))</f>
        <v>12.24</v>
      </c>
      <c r="E10" s="43">
        <v>16.260999999999999</v>
      </c>
      <c r="F10" s="43">
        <v>13.78</v>
      </c>
      <c r="G10" s="45">
        <v>0.106</v>
      </c>
      <c r="H10" s="43">
        <v>513432.5</v>
      </c>
      <c r="I10" s="45">
        <v>46743275.579999998</v>
      </c>
      <c r="J10" s="193">
        <f t="shared" si="0"/>
        <v>61496.832913104976</v>
      </c>
      <c r="K10" s="193">
        <f t="shared" si="1"/>
        <v>72568.940493468792</v>
      </c>
      <c r="L10" s="193">
        <f t="shared" si="2"/>
        <v>9433962.2641509436</v>
      </c>
      <c r="M10" s="196">
        <f t="shared" si="3"/>
        <v>11.401754250991379</v>
      </c>
      <c r="N10" s="196">
        <f t="shared" si="4"/>
        <v>12.38570387088915</v>
      </c>
      <c r="O10" s="196">
        <f t="shared" si="5"/>
        <v>9.5415272171676051</v>
      </c>
      <c r="P10" s="193" t="str">
        <f t="shared" si="6"/>
        <v>C.N.V</v>
      </c>
      <c r="Q10" s="193" t="str">
        <f t="shared" si="7"/>
        <v>C.N.V</v>
      </c>
      <c r="S10" s="207"/>
      <c r="T10" s="31"/>
      <c r="U10" s="31"/>
      <c r="V10" s="31"/>
      <c r="W10" s="31"/>
      <c r="X10" s="31"/>
      <c r="Y10" s="31"/>
      <c r="Z10" s="31"/>
      <c r="AA10" s="31"/>
      <c r="AB10" s="31"/>
      <c r="AC10" s="208"/>
    </row>
    <row r="11" spans="3:29" ht="17.25" thickTop="1" thickBot="1">
      <c r="C11" s="183">
        <f>Données!D18</f>
        <v>5</v>
      </c>
      <c r="D11" s="191">
        <f>IF(Données!E18=" "," ",SUM(Données!$F$14:'Données'!F18))</f>
        <v>15.3</v>
      </c>
      <c r="E11" s="43">
        <v>19.143000000000001</v>
      </c>
      <c r="F11" s="43">
        <v>16.327000000000002</v>
      </c>
      <c r="G11" s="45">
        <v>0.13100000000000001</v>
      </c>
      <c r="H11" s="43">
        <v>482424.38</v>
      </c>
      <c r="I11" s="45">
        <v>44809249.609999999</v>
      </c>
      <c r="J11" s="193">
        <f t="shared" si="0"/>
        <v>52238.416131222897</v>
      </c>
      <c r="K11" s="193">
        <f t="shared" si="1"/>
        <v>61248.239113125492</v>
      </c>
      <c r="L11" s="193">
        <f t="shared" si="2"/>
        <v>7633587.7862595413</v>
      </c>
      <c r="M11" s="196">
        <f t="shared" si="3"/>
        <v>11.163941409119788</v>
      </c>
      <c r="N11" s="196">
        <f t="shared" si="4"/>
        <v>12.088414742734733</v>
      </c>
      <c r="O11" s="196">
        <f t="shared" si="5"/>
        <v>9.6376069802868205</v>
      </c>
      <c r="P11" s="193" t="str">
        <f t="shared" si="6"/>
        <v>C.N.V</v>
      </c>
      <c r="Q11" s="193" t="str">
        <f t="shared" si="7"/>
        <v>C.N.V</v>
      </c>
      <c r="S11" s="207"/>
      <c r="T11" s="31"/>
      <c r="U11" s="31"/>
      <c r="V11" s="31"/>
      <c r="W11" s="31"/>
      <c r="X11" s="31"/>
      <c r="Y11" s="31"/>
      <c r="Z11" s="31"/>
      <c r="AA11" s="31"/>
      <c r="AB11" s="31"/>
      <c r="AC11" s="208"/>
    </row>
    <row r="12" spans="3:29" ht="17.25" thickTop="1" thickBot="1">
      <c r="C12" s="183" t="str">
        <f>Données!D19</f>
        <v xml:space="preserve"> </v>
      </c>
      <c r="D12" s="191" t="str">
        <f>IF(Données!E19=" "," ",SUM(Données!$F$14:'Données'!F19))</f>
        <v xml:space="preserve"> </v>
      </c>
      <c r="E12" s="43"/>
      <c r="F12" s="43"/>
      <c r="G12" s="45"/>
      <c r="H12" s="43"/>
      <c r="I12" s="45"/>
      <c r="J12" s="193" t="str">
        <f t="shared" si="0"/>
        <v xml:space="preserve"> </v>
      </c>
      <c r="K12" s="193" t="str">
        <f t="shared" si="1"/>
        <v xml:space="preserve"> </v>
      </c>
      <c r="L12" s="193" t="str">
        <f t="shared" si="2"/>
        <v xml:space="preserve"> </v>
      </c>
      <c r="M12" s="196" t="str">
        <f t="shared" si="3"/>
        <v xml:space="preserve"> </v>
      </c>
      <c r="N12" s="196" t="str">
        <f t="shared" si="4"/>
        <v xml:space="preserve"> </v>
      </c>
      <c r="O12" s="196" t="str">
        <f t="shared" si="5"/>
        <v xml:space="preserve"> </v>
      </c>
      <c r="P12" s="193" t="str">
        <f t="shared" si="6"/>
        <v xml:space="preserve"> </v>
      </c>
      <c r="Q12" s="193" t="str">
        <f t="shared" si="7"/>
        <v xml:space="preserve"> </v>
      </c>
      <c r="S12" s="207"/>
      <c r="T12" s="31"/>
      <c r="U12" s="31"/>
      <c r="V12" s="31"/>
      <c r="W12" s="31"/>
      <c r="X12" s="31"/>
      <c r="Y12" s="31"/>
      <c r="Z12" s="31"/>
      <c r="AA12" s="31"/>
      <c r="AB12" s="31"/>
      <c r="AC12" s="208"/>
    </row>
    <row r="13" spans="3:29" ht="17.25" thickTop="1" thickBot="1">
      <c r="C13" s="183" t="str">
        <f>Données!D20</f>
        <v xml:space="preserve"> </v>
      </c>
      <c r="D13" s="191" t="str">
        <f>IF(Données!E20=" "," ",SUM(Données!$F$14:'Données'!F20))</f>
        <v xml:space="preserve"> </v>
      </c>
      <c r="E13" s="43"/>
      <c r="F13" s="43"/>
      <c r="G13" s="45"/>
      <c r="H13" s="43"/>
      <c r="I13" s="45"/>
      <c r="J13" s="193" t="str">
        <f t="shared" si="0"/>
        <v xml:space="preserve"> </v>
      </c>
      <c r="K13" s="193" t="str">
        <f t="shared" si="1"/>
        <v xml:space="preserve"> </v>
      </c>
      <c r="L13" s="193" t="str">
        <f t="shared" si="2"/>
        <v xml:space="preserve"> </v>
      </c>
      <c r="M13" s="196" t="str">
        <f t="shared" si="3"/>
        <v xml:space="preserve"> </v>
      </c>
      <c r="N13" s="196" t="str">
        <f t="shared" si="4"/>
        <v xml:space="preserve"> </v>
      </c>
      <c r="O13" s="196" t="str">
        <f t="shared" si="5"/>
        <v xml:space="preserve"> </v>
      </c>
      <c r="P13" s="193" t="str">
        <f t="shared" si="6"/>
        <v xml:space="preserve"> </v>
      </c>
      <c r="Q13" s="193" t="str">
        <f t="shared" si="7"/>
        <v xml:space="preserve"> </v>
      </c>
      <c r="S13" s="207"/>
      <c r="T13" s="31"/>
      <c r="U13" s="31"/>
      <c r="V13" s="31"/>
      <c r="W13" s="31"/>
      <c r="X13" s="31"/>
      <c r="Y13" s="31"/>
      <c r="Z13" s="31"/>
      <c r="AA13" s="31"/>
      <c r="AB13" s="31"/>
      <c r="AC13" s="208"/>
    </row>
    <row r="14" spans="3:29" ht="17.25" thickTop="1" thickBot="1">
      <c r="C14" s="183" t="str">
        <f>Données!D21</f>
        <v xml:space="preserve"> </v>
      </c>
      <c r="D14" s="191" t="str">
        <f>IF(Données!E21=" "," ",SUM(Données!$F$14:'Données'!F21))</f>
        <v xml:space="preserve"> </v>
      </c>
      <c r="E14" s="43"/>
      <c r="F14" s="43"/>
      <c r="G14" s="45"/>
      <c r="H14" s="43"/>
      <c r="I14" s="45"/>
      <c r="J14" s="193" t="str">
        <f t="shared" si="0"/>
        <v xml:space="preserve"> </v>
      </c>
      <c r="K14" s="193" t="str">
        <f t="shared" si="1"/>
        <v xml:space="preserve"> </v>
      </c>
      <c r="L14" s="193" t="str">
        <f t="shared" si="2"/>
        <v xml:space="preserve"> </v>
      </c>
      <c r="M14" s="196" t="str">
        <f t="shared" si="3"/>
        <v xml:space="preserve"> </v>
      </c>
      <c r="N14" s="196" t="str">
        <f t="shared" si="4"/>
        <v xml:space="preserve"> </v>
      </c>
      <c r="O14" s="196" t="str">
        <f t="shared" si="5"/>
        <v xml:space="preserve"> </v>
      </c>
      <c r="P14" s="193" t="str">
        <f t="shared" si="6"/>
        <v xml:space="preserve"> </v>
      </c>
      <c r="Q14" s="193" t="str">
        <f t="shared" si="7"/>
        <v xml:space="preserve"> </v>
      </c>
      <c r="S14" s="207"/>
      <c r="T14" s="31"/>
      <c r="U14" s="31"/>
      <c r="V14" s="31"/>
      <c r="W14" s="31"/>
      <c r="X14" s="31"/>
      <c r="Y14" s="31"/>
      <c r="Z14" s="31"/>
      <c r="AA14" s="31"/>
      <c r="AB14" s="31"/>
      <c r="AC14" s="208"/>
    </row>
    <row r="15" spans="3:29" ht="17.25" thickTop="1" thickBot="1">
      <c r="C15" s="183" t="str">
        <f>Données!D22</f>
        <v xml:space="preserve"> </v>
      </c>
      <c r="D15" s="191" t="str">
        <f>IF(Données!E22=" "," ",SUM(Données!$F$14:'Données'!F22))</f>
        <v xml:space="preserve"> </v>
      </c>
      <c r="E15" s="43"/>
      <c r="F15" s="43"/>
      <c r="G15" s="45"/>
      <c r="H15" s="43"/>
      <c r="I15" s="45"/>
      <c r="J15" s="193" t="str">
        <f t="shared" si="0"/>
        <v xml:space="preserve"> </v>
      </c>
      <c r="K15" s="193" t="str">
        <f t="shared" si="1"/>
        <v xml:space="preserve"> </v>
      </c>
      <c r="L15" s="193" t="str">
        <f t="shared" si="2"/>
        <v xml:space="preserve"> </v>
      </c>
      <c r="M15" s="196" t="str">
        <f t="shared" si="3"/>
        <v xml:space="preserve"> </v>
      </c>
      <c r="N15" s="196" t="str">
        <f t="shared" si="4"/>
        <v xml:space="preserve"> </v>
      </c>
      <c r="O15" s="196" t="str">
        <f t="shared" si="5"/>
        <v xml:space="preserve"> </v>
      </c>
      <c r="P15" s="193" t="str">
        <f t="shared" si="6"/>
        <v xml:space="preserve"> </v>
      </c>
      <c r="Q15" s="193" t="str">
        <f t="shared" si="7"/>
        <v xml:space="preserve"> </v>
      </c>
      <c r="S15" s="207"/>
      <c r="T15" s="31"/>
      <c r="U15" s="31"/>
      <c r="V15" s="31"/>
      <c r="W15" s="31"/>
      <c r="X15" s="31"/>
      <c r="Y15" s="31"/>
      <c r="Z15" s="31"/>
      <c r="AA15" s="31"/>
      <c r="AB15" s="31"/>
      <c r="AC15" s="208"/>
    </row>
    <row r="16" spans="3:29" ht="17.25" thickTop="1" thickBot="1">
      <c r="C16" s="183" t="str">
        <f>Données!D23</f>
        <v xml:space="preserve"> </v>
      </c>
      <c r="D16" s="191" t="str">
        <f>IF(Données!E23=" "," ",SUM(Données!$F$14:'Données'!F23))</f>
        <v xml:space="preserve"> </v>
      </c>
      <c r="E16" s="43"/>
      <c r="F16" s="43"/>
      <c r="G16" s="45"/>
      <c r="H16" s="43"/>
      <c r="I16" s="45"/>
      <c r="J16" s="193" t="str">
        <f t="shared" si="0"/>
        <v xml:space="preserve"> </v>
      </c>
      <c r="K16" s="193" t="str">
        <f t="shared" si="1"/>
        <v xml:space="preserve"> </v>
      </c>
      <c r="L16" s="193" t="str">
        <f t="shared" si="2"/>
        <v xml:space="preserve"> </v>
      </c>
      <c r="M16" s="196" t="str">
        <f t="shared" si="3"/>
        <v xml:space="preserve"> </v>
      </c>
      <c r="N16" s="196" t="str">
        <f t="shared" si="4"/>
        <v xml:space="preserve"> </v>
      </c>
      <c r="O16" s="196" t="str">
        <f t="shared" si="5"/>
        <v xml:space="preserve"> </v>
      </c>
      <c r="P16" s="193" t="str">
        <f t="shared" si="6"/>
        <v xml:space="preserve"> </v>
      </c>
      <c r="Q16" s="193" t="str">
        <f t="shared" si="7"/>
        <v xml:space="preserve"> </v>
      </c>
      <c r="S16" s="207"/>
      <c r="T16" s="31"/>
      <c r="U16" s="31"/>
      <c r="V16" s="31"/>
      <c r="W16" s="31"/>
      <c r="X16" s="31"/>
      <c r="Y16" s="31"/>
      <c r="Z16" s="31"/>
      <c r="AA16" s="31"/>
      <c r="AB16" s="31"/>
      <c r="AC16" s="208"/>
    </row>
    <row r="17" spans="3:29" ht="17.25" thickTop="1" thickBot="1">
      <c r="C17" s="183" t="str">
        <f>Données!D24</f>
        <v xml:space="preserve"> </v>
      </c>
      <c r="D17" s="191" t="str">
        <f>IF(Données!E24=" "," ",SUM(Données!$F$14:'Données'!F24))</f>
        <v xml:space="preserve"> </v>
      </c>
      <c r="E17" s="43"/>
      <c r="F17" s="43"/>
      <c r="G17" s="45"/>
      <c r="H17" s="43"/>
      <c r="I17" s="45"/>
      <c r="J17" s="193" t="str">
        <f t="shared" si="0"/>
        <v xml:space="preserve"> </v>
      </c>
      <c r="K17" s="193" t="str">
        <f t="shared" si="1"/>
        <v xml:space="preserve"> </v>
      </c>
      <c r="L17" s="193" t="str">
        <f t="shared" si="2"/>
        <v xml:space="preserve"> </v>
      </c>
      <c r="M17" s="196" t="str">
        <f t="shared" si="3"/>
        <v xml:space="preserve"> </v>
      </c>
      <c r="N17" s="196" t="str">
        <f t="shared" si="4"/>
        <v xml:space="preserve"> </v>
      </c>
      <c r="O17" s="196" t="str">
        <f t="shared" si="5"/>
        <v xml:space="preserve"> </v>
      </c>
      <c r="P17" s="193" t="str">
        <f t="shared" si="6"/>
        <v xml:space="preserve"> </v>
      </c>
      <c r="Q17" s="193" t="str">
        <f t="shared" si="7"/>
        <v xml:space="preserve"> </v>
      </c>
      <c r="S17" s="207"/>
      <c r="T17" s="31"/>
      <c r="U17" s="31"/>
      <c r="V17" s="31"/>
      <c r="W17" s="31"/>
      <c r="X17" s="31"/>
      <c r="Y17" s="31"/>
      <c r="Z17" s="31"/>
      <c r="AA17" s="31"/>
      <c r="AB17" s="31"/>
      <c r="AC17" s="208"/>
    </row>
    <row r="18" spans="3:29" ht="17.25" thickTop="1" thickBot="1">
      <c r="C18" s="183" t="str">
        <f>Données!D25</f>
        <v xml:space="preserve"> </v>
      </c>
      <c r="D18" s="191" t="str">
        <f>IF(Données!E25=" "," ",SUM(Données!$F$14:'Données'!F25))</f>
        <v xml:space="preserve"> </v>
      </c>
      <c r="E18" s="43"/>
      <c r="F18" s="43"/>
      <c r="G18" s="45"/>
      <c r="H18" s="43"/>
      <c r="I18" s="45"/>
      <c r="J18" s="193" t="str">
        <f t="shared" si="0"/>
        <v xml:space="preserve"> </v>
      </c>
      <c r="K18" s="193" t="str">
        <f t="shared" si="1"/>
        <v xml:space="preserve"> </v>
      </c>
      <c r="L18" s="193" t="str">
        <f t="shared" si="2"/>
        <v xml:space="preserve"> </v>
      </c>
      <c r="M18" s="196" t="str">
        <f t="shared" si="3"/>
        <v xml:space="preserve"> </v>
      </c>
      <c r="N18" s="196" t="str">
        <f t="shared" si="4"/>
        <v xml:space="preserve"> </v>
      </c>
      <c r="O18" s="196" t="str">
        <f t="shared" si="5"/>
        <v xml:space="preserve"> </v>
      </c>
      <c r="P18" s="193" t="str">
        <f t="shared" si="6"/>
        <v xml:space="preserve"> </v>
      </c>
      <c r="Q18" s="193" t="str">
        <f t="shared" si="7"/>
        <v xml:space="preserve"> </v>
      </c>
      <c r="S18" s="207"/>
      <c r="T18" s="31"/>
      <c r="U18" s="31"/>
      <c r="V18" s="31"/>
      <c r="W18" s="31"/>
      <c r="X18" s="31"/>
      <c r="Y18" s="31"/>
      <c r="Z18" s="31"/>
      <c r="AA18" s="31"/>
      <c r="AB18" s="31"/>
      <c r="AC18" s="208"/>
    </row>
    <row r="19" spans="3:29" ht="17.25" thickTop="1" thickBot="1">
      <c r="C19" s="183" t="str">
        <f>Données!D26</f>
        <v xml:space="preserve"> </v>
      </c>
      <c r="D19" s="191" t="str">
        <f>IF(Données!E26=" "," ",SUM(Données!$F$14:'Données'!F26))</f>
        <v xml:space="preserve"> </v>
      </c>
      <c r="E19" s="43"/>
      <c r="F19" s="43"/>
      <c r="G19" s="45"/>
      <c r="H19" s="43"/>
      <c r="I19" s="45"/>
      <c r="J19" s="193" t="str">
        <f t="shared" si="0"/>
        <v xml:space="preserve"> </v>
      </c>
      <c r="K19" s="193" t="str">
        <f t="shared" si="1"/>
        <v xml:space="preserve"> </v>
      </c>
      <c r="L19" s="193" t="str">
        <f t="shared" si="2"/>
        <v xml:space="preserve"> </v>
      </c>
      <c r="M19" s="196" t="str">
        <f t="shared" si="3"/>
        <v xml:space="preserve"> </v>
      </c>
      <c r="N19" s="196" t="str">
        <f t="shared" si="4"/>
        <v xml:space="preserve"> </v>
      </c>
      <c r="O19" s="196" t="str">
        <f t="shared" si="5"/>
        <v xml:space="preserve"> </v>
      </c>
      <c r="P19" s="193" t="str">
        <f t="shared" si="6"/>
        <v xml:space="preserve"> </v>
      </c>
      <c r="Q19" s="193" t="str">
        <f t="shared" si="7"/>
        <v xml:space="preserve"> </v>
      </c>
      <c r="S19" s="207"/>
      <c r="T19" s="31"/>
      <c r="U19" s="31"/>
      <c r="V19" s="31"/>
      <c r="W19" s="31"/>
      <c r="X19" s="31"/>
      <c r="Y19" s="31"/>
      <c r="Z19" s="31"/>
      <c r="AA19" s="31"/>
      <c r="AB19" s="31"/>
      <c r="AC19" s="208"/>
    </row>
    <row r="20" spans="3:29" ht="17.25" thickTop="1" thickBot="1">
      <c r="C20" s="183" t="str">
        <f>Données!D27</f>
        <v xml:space="preserve"> </v>
      </c>
      <c r="D20" s="191" t="str">
        <f>IF(Données!E27=" "," ",SUM(Données!$F$14:'Données'!F27))</f>
        <v xml:space="preserve"> </v>
      </c>
      <c r="E20" s="43"/>
      <c r="F20" s="43"/>
      <c r="G20" s="45"/>
      <c r="H20" s="43"/>
      <c r="I20" s="45"/>
      <c r="J20" s="193" t="str">
        <f t="shared" si="0"/>
        <v xml:space="preserve"> </v>
      </c>
      <c r="K20" s="193" t="str">
        <f t="shared" si="1"/>
        <v xml:space="preserve"> </v>
      </c>
      <c r="L20" s="193" t="str">
        <f t="shared" si="2"/>
        <v xml:space="preserve"> </v>
      </c>
      <c r="M20" s="196" t="str">
        <f t="shared" si="3"/>
        <v xml:space="preserve"> </v>
      </c>
      <c r="N20" s="196" t="str">
        <f t="shared" si="4"/>
        <v xml:space="preserve"> </v>
      </c>
      <c r="O20" s="196" t="str">
        <f t="shared" si="5"/>
        <v xml:space="preserve"> </v>
      </c>
      <c r="P20" s="193" t="str">
        <f t="shared" si="6"/>
        <v xml:space="preserve"> </v>
      </c>
      <c r="Q20" s="193" t="str">
        <f t="shared" si="7"/>
        <v xml:space="preserve"> </v>
      </c>
      <c r="S20" s="207"/>
      <c r="T20" s="31"/>
      <c r="U20" s="31"/>
      <c r="V20" s="31"/>
      <c r="W20" s="31"/>
      <c r="X20" s="31"/>
      <c r="Y20" s="31"/>
      <c r="Z20" s="31"/>
      <c r="AA20" s="31"/>
      <c r="AB20" s="31"/>
      <c r="AC20" s="208"/>
    </row>
    <row r="21" spans="3:29" ht="17.25" thickTop="1" thickBot="1">
      <c r="C21" s="183" t="str">
        <f>Données!D28</f>
        <v xml:space="preserve"> </v>
      </c>
      <c r="D21" s="191" t="str">
        <f>IF(Données!E28=" "," ",SUM(Données!$F$14:'Données'!F28))</f>
        <v xml:space="preserve"> </v>
      </c>
      <c r="E21" s="43"/>
      <c r="F21" s="43"/>
      <c r="G21" s="45"/>
      <c r="H21" s="43"/>
      <c r="I21" s="45"/>
      <c r="J21" s="193" t="str">
        <f t="shared" si="0"/>
        <v xml:space="preserve"> </v>
      </c>
      <c r="K21" s="193" t="str">
        <f t="shared" si="1"/>
        <v xml:space="preserve"> </v>
      </c>
      <c r="L21" s="193" t="str">
        <f t="shared" si="2"/>
        <v xml:space="preserve"> </v>
      </c>
      <c r="M21" s="196" t="str">
        <f t="shared" si="3"/>
        <v xml:space="preserve"> </v>
      </c>
      <c r="N21" s="196" t="str">
        <f t="shared" si="4"/>
        <v xml:space="preserve"> </v>
      </c>
      <c r="O21" s="196" t="str">
        <f t="shared" si="5"/>
        <v xml:space="preserve"> </v>
      </c>
      <c r="P21" s="193" t="str">
        <f t="shared" si="6"/>
        <v xml:space="preserve"> </v>
      </c>
      <c r="Q21" s="193" t="str">
        <f t="shared" si="7"/>
        <v xml:space="preserve"> </v>
      </c>
      <c r="S21" s="207"/>
      <c r="T21" s="31"/>
      <c r="U21" s="31"/>
      <c r="V21" s="31"/>
      <c r="W21" s="31"/>
      <c r="X21" s="31"/>
      <c r="Y21" s="31"/>
      <c r="Z21" s="31"/>
      <c r="AA21" s="31"/>
      <c r="AB21" s="31"/>
      <c r="AC21" s="208"/>
    </row>
    <row r="22" spans="3:29" ht="17.25" thickTop="1" thickBot="1">
      <c r="C22" s="183" t="str">
        <f>Données!D29</f>
        <v xml:space="preserve"> </v>
      </c>
      <c r="D22" s="191" t="str">
        <f>IF(Données!E29=" "," ",SUM(Données!$F$14:'Données'!F29))</f>
        <v xml:space="preserve"> </v>
      </c>
      <c r="E22" s="43"/>
      <c r="F22" s="43"/>
      <c r="G22" s="45"/>
      <c r="H22" s="43"/>
      <c r="I22" s="45"/>
      <c r="J22" s="193" t="str">
        <f t="shared" si="0"/>
        <v xml:space="preserve"> </v>
      </c>
      <c r="K22" s="193" t="str">
        <f t="shared" si="1"/>
        <v xml:space="preserve"> </v>
      </c>
      <c r="L22" s="193" t="str">
        <f t="shared" si="2"/>
        <v xml:space="preserve"> </v>
      </c>
      <c r="M22" s="196" t="str">
        <f t="shared" si="3"/>
        <v xml:space="preserve"> </v>
      </c>
      <c r="N22" s="196" t="str">
        <f t="shared" si="4"/>
        <v xml:space="preserve"> </v>
      </c>
      <c r="O22" s="196" t="str">
        <f t="shared" si="5"/>
        <v xml:space="preserve"> </v>
      </c>
      <c r="P22" s="193" t="str">
        <f t="shared" si="6"/>
        <v xml:space="preserve"> </v>
      </c>
      <c r="Q22" s="193" t="str">
        <f t="shared" si="7"/>
        <v xml:space="preserve"> </v>
      </c>
      <c r="S22" s="207"/>
      <c r="T22" s="31"/>
      <c r="U22" s="31"/>
      <c r="V22" s="31"/>
      <c r="W22" s="31"/>
      <c r="X22" s="31"/>
      <c r="Y22" s="31"/>
      <c r="Z22" s="31"/>
      <c r="AA22" s="31"/>
      <c r="AB22" s="31"/>
      <c r="AC22" s="208"/>
    </row>
    <row r="23" spans="3:29" ht="17.25" thickTop="1" thickBot="1">
      <c r="C23" s="183" t="str">
        <f>Données!D30</f>
        <v xml:space="preserve"> </v>
      </c>
      <c r="D23" s="191" t="str">
        <f>IF(Données!E30=" "," ",SUM(Données!$F$14:'Données'!F30))</f>
        <v xml:space="preserve"> </v>
      </c>
      <c r="E23" s="43"/>
      <c r="F23" s="43"/>
      <c r="G23" s="45"/>
      <c r="H23" s="43"/>
      <c r="I23" s="45"/>
      <c r="J23" s="193" t="str">
        <f t="shared" si="0"/>
        <v xml:space="preserve"> </v>
      </c>
      <c r="K23" s="193" t="str">
        <f t="shared" si="1"/>
        <v xml:space="preserve"> </v>
      </c>
      <c r="L23" s="193" t="str">
        <f t="shared" si="2"/>
        <v xml:space="preserve"> </v>
      </c>
      <c r="M23" s="196" t="str">
        <f t="shared" si="3"/>
        <v xml:space="preserve"> </v>
      </c>
      <c r="N23" s="196" t="str">
        <f t="shared" si="4"/>
        <v xml:space="preserve"> </v>
      </c>
      <c r="O23" s="196" t="str">
        <f t="shared" si="5"/>
        <v xml:space="preserve"> </v>
      </c>
      <c r="P23" s="193" t="str">
        <f t="shared" si="6"/>
        <v xml:space="preserve"> </v>
      </c>
      <c r="Q23" s="193" t="str">
        <f t="shared" si="7"/>
        <v xml:space="preserve"> </v>
      </c>
      <c r="S23" s="207"/>
      <c r="T23" s="31"/>
      <c r="U23" s="31"/>
      <c r="V23" s="31"/>
      <c r="W23" s="31"/>
      <c r="X23" s="31"/>
      <c r="Y23" s="31"/>
      <c r="Z23" s="31"/>
      <c r="AA23" s="31"/>
      <c r="AB23" s="31"/>
      <c r="AC23" s="208"/>
    </row>
    <row r="24" spans="3:29" ht="17.25" thickTop="1" thickBot="1">
      <c r="C24" s="183" t="str">
        <f>Données!D31</f>
        <v xml:space="preserve"> </v>
      </c>
      <c r="D24" s="191" t="str">
        <f>IF(Données!E31=" "," ",SUM(Données!$F$14:'Données'!F31))</f>
        <v xml:space="preserve"> </v>
      </c>
      <c r="E24" s="43"/>
      <c r="F24" s="43"/>
      <c r="G24" s="45"/>
      <c r="H24" s="43"/>
      <c r="I24" s="45"/>
      <c r="J24" s="193" t="str">
        <f t="shared" si="0"/>
        <v xml:space="preserve"> </v>
      </c>
      <c r="K24" s="193" t="str">
        <f t="shared" si="1"/>
        <v xml:space="preserve"> </v>
      </c>
      <c r="L24" s="193" t="str">
        <f t="shared" si="2"/>
        <v xml:space="preserve"> </v>
      </c>
      <c r="M24" s="196" t="str">
        <f t="shared" si="3"/>
        <v xml:space="preserve"> </v>
      </c>
      <c r="N24" s="196" t="str">
        <f t="shared" si="4"/>
        <v xml:space="preserve"> </v>
      </c>
      <c r="O24" s="196" t="str">
        <f t="shared" si="5"/>
        <v xml:space="preserve"> </v>
      </c>
      <c r="P24" s="193" t="str">
        <f t="shared" si="6"/>
        <v xml:space="preserve"> </v>
      </c>
      <c r="Q24" s="193" t="str">
        <f t="shared" si="7"/>
        <v xml:space="preserve"> </v>
      </c>
      <c r="S24" s="207"/>
      <c r="T24" s="31"/>
      <c r="U24" s="31"/>
      <c r="V24" s="31"/>
      <c r="W24" s="31"/>
      <c r="X24" s="31"/>
      <c r="Y24" s="31"/>
      <c r="Z24" s="31"/>
      <c r="AA24" s="31"/>
      <c r="AB24" s="31"/>
      <c r="AC24" s="208"/>
    </row>
    <row r="25" spans="3:29" ht="17.25" thickTop="1" thickBot="1">
      <c r="C25" s="183" t="str">
        <f>Données!D32</f>
        <v xml:space="preserve"> </v>
      </c>
      <c r="D25" s="191" t="str">
        <f>IF(Données!E32=" "," ",SUM(Données!$F$14:'Données'!F32))</f>
        <v xml:space="preserve"> </v>
      </c>
      <c r="E25" s="43"/>
      <c r="F25" s="43"/>
      <c r="G25" s="45"/>
      <c r="H25" s="43"/>
      <c r="I25" s="45"/>
      <c r="J25" s="193" t="str">
        <f t="shared" si="0"/>
        <v xml:space="preserve"> </v>
      </c>
      <c r="K25" s="193" t="str">
        <f t="shared" si="1"/>
        <v xml:space="preserve"> </v>
      </c>
      <c r="L25" s="193" t="str">
        <f t="shared" si="2"/>
        <v xml:space="preserve"> </v>
      </c>
      <c r="M25" s="196" t="str">
        <f t="shared" si="3"/>
        <v xml:space="preserve"> </v>
      </c>
      <c r="N25" s="196" t="str">
        <f t="shared" si="4"/>
        <v xml:space="preserve"> </v>
      </c>
      <c r="O25" s="196" t="str">
        <f t="shared" si="5"/>
        <v xml:space="preserve"> </v>
      </c>
      <c r="P25" s="193" t="str">
        <f t="shared" si="6"/>
        <v xml:space="preserve"> </v>
      </c>
      <c r="Q25" s="193" t="str">
        <f t="shared" si="7"/>
        <v xml:space="preserve"> </v>
      </c>
      <c r="S25" s="207"/>
      <c r="T25" s="31"/>
      <c r="U25" s="31"/>
      <c r="V25" s="31"/>
      <c r="W25" s="31"/>
      <c r="X25" s="31"/>
      <c r="Y25" s="31"/>
      <c r="Z25" s="31"/>
      <c r="AA25" s="31"/>
      <c r="AB25" s="31"/>
      <c r="AC25" s="208"/>
    </row>
    <row r="26" spans="3:29" ht="17.25" thickTop="1" thickBot="1">
      <c r="C26" s="183" t="str">
        <f>Données!D33</f>
        <v xml:space="preserve"> </v>
      </c>
      <c r="D26" s="191" t="str">
        <f>IF(Données!E33=" "," ",SUM(Données!$F$14:'Données'!F33))</f>
        <v xml:space="preserve"> </v>
      </c>
      <c r="E26" s="43"/>
      <c r="F26" s="43"/>
      <c r="G26" s="45"/>
      <c r="H26" s="43"/>
      <c r="I26" s="45"/>
      <c r="J26" s="193" t="str">
        <f t="shared" si="0"/>
        <v xml:space="preserve"> </v>
      </c>
      <c r="K26" s="193" t="str">
        <f t="shared" si="1"/>
        <v xml:space="preserve"> </v>
      </c>
      <c r="L26" s="193" t="str">
        <f t="shared" si="2"/>
        <v xml:space="preserve"> </v>
      </c>
      <c r="M26" s="196" t="str">
        <f t="shared" si="3"/>
        <v xml:space="preserve"> </v>
      </c>
      <c r="N26" s="196" t="str">
        <f t="shared" si="4"/>
        <v xml:space="preserve"> </v>
      </c>
      <c r="O26" s="196" t="str">
        <f t="shared" si="5"/>
        <v xml:space="preserve"> </v>
      </c>
      <c r="P26" s="193" t="str">
        <f t="shared" si="6"/>
        <v xml:space="preserve"> </v>
      </c>
      <c r="Q26" s="193" t="str">
        <f t="shared" si="7"/>
        <v xml:space="preserve"> </v>
      </c>
      <c r="S26" s="207"/>
      <c r="T26" s="31"/>
      <c r="U26" s="31"/>
      <c r="V26" s="31"/>
      <c r="W26" s="31"/>
      <c r="X26" s="31"/>
      <c r="Y26" s="31"/>
      <c r="Z26" s="31"/>
      <c r="AA26" s="31"/>
      <c r="AB26" s="31"/>
      <c r="AC26" s="208"/>
    </row>
    <row r="27" spans="3:29" ht="16.5" thickTop="1">
      <c r="I27" s="42"/>
      <c r="M27" s="42"/>
      <c r="S27" s="207"/>
      <c r="T27" s="31"/>
      <c r="U27" s="31"/>
      <c r="V27" s="31"/>
      <c r="W27" s="31"/>
      <c r="X27" s="31"/>
      <c r="Y27" s="31"/>
      <c r="Z27" s="31"/>
      <c r="AA27" s="31"/>
      <c r="AB27" s="31"/>
      <c r="AC27" s="208"/>
    </row>
    <row r="28" spans="3:29">
      <c r="I28" s="31"/>
      <c r="M28" s="31"/>
      <c r="S28" s="207"/>
      <c r="T28" s="31"/>
      <c r="U28" s="31"/>
      <c r="V28" s="31"/>
      <c r="W28" s="31"/>
      <c r="X28" s="31"/>
      <c r="Y28" s="31"/>
      <c r="Z28" s="31"/>
      <c r="AA28" s="31"/>
      <c r="AB28" s="31"/>
      <c r="AC28" s="208"/>
    </row>
    <row r="29" spans="3:29">
      <c r="S29" s="207"/>
      <c r="T29" s="31"/>
      <c r="U29" s="31"/>
      <c r="V29" s="31"/>
      <c r="W29" s="31"/>
      <c r="X29" s="31"/>
      <c r="Y29" s="31"/>
      <c r="Z29" s="31"/>
      <c r="AA29" s="31"/>
      <c r="AB29" s="31"/>
      <c r="AC29" s="208"/>
    </row>
    <row r="30" spans="3:29">
      <c r="S30" s="207"/>
      <c r="T30" s="31"/>
      <c r="U30" s="31"/>
      <c r="V30" s="31"/>
      <c r="W30" s="31"/>
      <c r="X30" s="31"/>
      <c r="Y30" s="31"/>
      <c r="Z30" s="31"/>
      <c r="AA30" s="31"/>
      <c r="AB30" s="31"/>
      <c r="AC30" s="208"/>
    </row>
    <row r="31" spans="3:29">
      <c r="S31" s="207"/>
      <c r="T31" s="31"/>
      <c r="U31" s="31"/>
      <c r="V31" s="31"/>
      <c r="W31" s="31"/>
      <c r="X31" s="31"/>
      <c r="Y31" s="31"/>
      <c r="Z31" s="31"/>
      <c r="AA31" s="31"/>
      <c r="AB31" s="31"/>
      <c r="AC31" s="208"/>
    </row>
    <row r="32" spans="3:29">
      <c r="S32" s="207"/>
      <c r="T32" s="31"/>
      <c r="U32" s="31"/>
      <c r="V32" s="31"/>
      <c r="W32" s="31"/>
      <c r="X32" s="31"/>
      <c r="Y32" s="31"/>
      <c r="Z32" s="31"/>
      <c r="AA32" s="31"/>
      <c r="AB32" s="31"/>
      <c r="AC32" s="208"/>
    </row>
    <row r="33" spans="19:29">
      <c r="S33" s="207"/>
      <c r="T33" s="31"/>
      <c r="U33" s="31"/>
      <c r="V33" s="31"/>
      <c r="W33" s="31"/>
      <c r="X33" s="31"/>
      <c r="Y33" s="31"/>
      <c r="Z33" s="31"/>
      <c r="AA33" s="31"/>
      <c r="AB33" s="31"/>
      <c r="AC33" s="208"/>
    </row>
    <row r="34" spans="19:29">
      <c r="S34" s="207"/>
      <c r="T34" s="31"/>
      <c r="U34" s="31"/>
      <c r="V34" s="31"/>
      <c r="W34" s="31"/>
      <c r="X34" s="31"/>
      <c r="Y34" s="31"/>
      <c r="Z34" s="31"/>
      <c r="AA34" s="31"/>
      <c r="AB34" s="31"/>
      <c r="AC34" s="208"/>
    </row>
    <row r="35" spans="19:29">
      <c r="S35" s="207"/>
      <c r="T35" s="31"/>
      <c r="U35" s="31"/>
      <c r="V35" s="31"/>
      <c r="W35" s="31"/>
      <c r="X35" s="31"/>
      <c r="Y35" s="31"/>
      <c r="Z35" s="31"/>
      <c r="AA35" s="31"/>
      <c r="AB35" s="31"/>
      <c r="AC35" s="208"/>
    </row>
    <row r="36" spans="19:29">
      <c r="S36" s="207"/>
      <c r="T36" s="31"/>
      <c r="U36" s="31"/>
      <c r="V36" s="31"/>
      <c r="W36" s="31"/>
      <c r="X36" s="31"/>
      <c r="Y36" s="31"/>
      <c r="Z36" s="31"/>
      <c r="AA36" s="31"/>
      <c r="AB36" s="31"/>
      <c r="AC36" s="208"/>
    </row>
    <row r="37" spans="19:29">
      <c r="S37" s="207"/>
      <c r="T37" s="31"/>
      <c r="U37" s="31"/>
      <c r="V37" s="31"/>
      <c r="W37" s="31"/>
      <c r="X37" s="31"/>
      <c r="Y37" s="31"/>
      <c r="Z37" s="31"/>
      <c r="AA37" s="31"/>
      <c r="AB37" s="31"/>
      <c r="AC37" s="208"/>
    </row>
    <row r="38" spans="19:29">
      <c r="S38" s="207"/>
      <c r="T38" s="31"/>
      <c r="U38" s="31"/>
      <c r="V38" s="31"/>
      <c r="W38" s="31"/>
      <c r="X38" s="31"/>
      <c r="Y38" s="31"/>
      <c r="Z38" s="31"/>
      <c r="AA38" s="31"/>
      <c r="AB38" s="31"/>
      <c r="AC38" s="208"/>
    </row>
    <row r="39" spans="19:29">
      <c r="S39" s="207"/>
      <c r="T39" s="31"/>
      <c r="U39" s="31"/>
      <c r="V39" s="31"/>
      <c r="W39" s="31"/>
      <c r="X39" s="31"/>
      <c r="Y39" s="31"/>
      <c r="Z39" s="31"/>
      <c r="AA39" s="31"/>
      <c r="AB39" s="31"/>
      <c r="AC39" s="208"/>
    </row>
    <row r="40" spans="19:29">
      <c r="S40" s="207"/>
      <c r="T40" s="31"/>
      <c r="U40" s="31"/>
      <c r="V40" s="31"/>
      <c r="W40" s="31"/>
      <c r="X40" s="31"/>
      <c r="Y40" s="31"/>
      <c r="Z40" s="31"/>
      <c r="AA40" s="31"/>
      <c r="AB40" s="31"/>
      <c r="AC40" s="208"/>
    </row>
    <row r="41" spans="19:29">
      <c r="S41" s="207"/>
      <c r="T41" s="31"/>
      <c r="U41" s="31"/>
      <c r="V41" s="31"/>
      <c r="W41" s="31"/>
      <c r="X41" s="31"/>
      <c r="Y41" s="31"/>
      <c r="Z41" s="31"/>
      <c r="AA41" s="31"/>
      <c r="AB41" s="31"/>
      <c r="AC41" s="208"/>
    </row>
    <row r="42" spans="19:29">
      <c r="S42" s="207"/>
      <c r="T42" s="31"/>
      <c r="U42" s="31"/>
      <c r="V42" s="31"/>
      <c r="W42" s="31"/>
      <c r="X42" s="31"/>
      <c r="Y42" s="31"/>
      <c r="Z42" s="31"/>
      <c r="AA42" s="31"/>
      <c r="AB42" s="31"/>
      <c r="AC42" s="208"/>
    </row>
    <row r="43" spans="19:29">
      <c r="S43" s="207"/>
      <c r="T43" s="31"/>
      <c r="U43" s="31"/>
      <c r="V43" s="31"/>
      <c r="W43" s="31"/>
      <c r="X43" s="31"/>
      <c r="Y43" s="31"/>
      <c r="Z43" s="31"/>
      <c r="AA43" s="31"/>
      <c r="AB43" s="31"/>
      <c r="AC43" s="208"/>
    </row>
    <row r="44" spans="19:29">
      <c r="S44" s="207"/>
      <c r="T44" s="31"/>
      <c r="U44" s="31"/>
      <c r="V44" s="31"/>
      <c r="W44" s="31"/>
      <c r="X44" s="31"/>
      <c r="Y44" s="31"/>
      <c r="Z44" s="31"/>
      <c r="AA44" s="31"/>
      <c r="AB44" s="31"/>
      <c r="AC44" s="208"/>
    </row>
    <row r="45" spans="19:29">
      <c r="S45" s="207"/>
      <c r="T45" s="31"/>
      <c r="U45" s="31"/>
      <c r="V45" s="31"/>
      <c r="W45" s="31"/>
      <c r="X45" s="31"/>
      <c r="Y45" s="31"/>
      <c r="Z45" s="31"/>
      <c r="AA45" s="31"/>
      <c r="AB45" s="31"/>
      <c r="AC45" s="208"/>
    </row>
    <row r="46" spans="19:29">
      <c r="S46" s="207"/>
      <c r="T46" s="31"/>
      <c r="U46" s="31"/>
      <c r="V46" s="31"/>
      <c r="W46" s="31"/>
      <c r="X46" s="31"/>
      <c r="Y46" s="31"/>
      <c r="Z46" s="31"/>
      <c r="AA46" s="31"/>
      <c r="AB46" s="31"/>
      <c r="AC46" s="208"/>
    </row>
    <row r="47" spans="19:29">
      <c r="S47" s="207"/>
      <c r="T47" s="31"/>
      <c r="U47" s="31"/>
      <c r="V47" s="31"/>
      <c r="W47" s="31"/>
      <c r="X47" s="31"/>
      <c r="Y47" s="31"/>
      <c r="Z47" s="31"/>
      <c r="AA47" s="31"/>
      <c r="AB47" s="31"/>
      <c r="AC47" s="208"/>
    </row>
    <row r="48" spans="19:29">
      <c r="S48" s="207"/>
      <c r="T48" s="31"/>
      <c r="U48" s="31"/>
      <c r="V48" s="31"/>
      <c r="W48" s="31"/>
      <c r="X48" s="31"/>
      <c r="Y48" s="31"/>
      <c r="Z48" s="31"/>
      <c r="AA48" s="31"/>
      <c r="AB48" s="31"/>
      <c r="AC48" s="208"/>
    </row>
    <row r="49" spans="19:29">
      <c r="S49" s="207"/>
      <c r="T49" s="31"/>
      <c r="U49" s="31"/>
      <c r="V49" s="31"/>
      <c r="W49" s="31"/>
      <c r="X49" s="31"/>
      <c r="Y49" s="31"/>
      <c r="Z49" s="31"/>
      <c r="AA49" s="31"/>
      <c r="AB49" s="31"/>
      <c r="AC49" s="208"/>
    </row>
    <row r="50" spans="19:29">
      <c r="S50" s="207"/>
      <c r="T50" s="31"/>
      <c r="U50" s="31"/>
      <c r="V50" s="31"/>
      <c r="W50" s="31"/>
      <c r="X50" s="31"/>
      <c r="Y50" s="31"/>
      <c r="Z50" s="31"/>
      <c r="AA50" s="31"/>
      <c r="AB50" s="31"/>
      <c r="AC50" s="208"/>
    </row>
    <row r="51" spans="19:29">
      <c r="S51" s="207"/>
      <c r="T51" s="31"/>
      <c r="U51" s="31"/>
      <c r="V51" s="31"/>
      <c r="W51" s="31"/>
      <c r="X51" s="31"/>
      <c r="Y51" s="31"/>
      <c r="Z51" s="31"/>
      <c r="AA51" s="31"/>
      <c r="AB51" s="31"/>
      <c r="AC51" s="208"/>
    </row>
    <row r="52" spans="19:29">
      <c r="S52" s="207"/>
      <c r="T52" s="31"/>
      <c r="U52" s="31"/>
      <c r="V52" s="31"/>
      <c r="W52" s="31"/>
      <c r="X52" s="31"/>
      <c r="Y52" s="31"/>
      <c r="Z52" s="31"/>
      <c r="AA52" s="31"/>
      <c r="AB52" s="31"/>
      <c r="AC52" s="208"/>
    </row>
    <row r="53" spans="19:29">
      <c r="S53" s="207"/>
      <c r="T53" s="31"/>
      <c r="U53" s="31"/>
      <c r="V53" s="31"/>
      <c r="W53" s="31"/>
      <c r="X53" s="31"/>
      <c r="Y53" s="31"/>
      <c r="Z53" s="31"/>
      <c r="AA53" s="31"/>
      <c r="AB53" s="31"/>
      <c r="AC53" s="208"/>
    </row>
    <row r="54" spans="19:29">
      <c r="S54" s="207"/>
      <c r="T54" s="31"/>
      <c r="U54" s="31"/>
      <c r="V54" s="31"/>
      <c r="W54" s="31"/>
      <c r="X54" s="31"/>
      <c r="Y54" s="31"/>
      <c r="Z54" s="31"/>
      <c r="AA54" s="31"/>
      <c r="AB54" s="31"/>
      <c r="AC54" s="208"/>
    </row>
    <row r="55" spans="19:29">
      <c r="S55" s="207"/>
      <c r="T55" s="31"/>
      <c r="U55" s="31"/>
      <c r="V55" s="31"/>
      <c r="W55" s="31"/>
      <c r="X55" s="31"/>
      <c r="Y55" s="31"/>
      <c r="Z55" s="31"/>
      <c r="AA55" s="31"/>
      <c r="AB55" s="31"/>
      <c r="AC55" s="208"/>
    </row>
    <row r="56" spans="19:29">
      <c r="S56" s="207"/>
      <c r="T56" s="31"/>
      <c r="U56" s="31"/>
      <c r="V56" s="31"/>
      <c r="W56" s="31"/>
      <c r="X56" s="31"/>
      <c r="Y56" s="31"/>
      <c r="Z56" s="31"/>
      <c r="AA56" s="31"/>
      <c r="AB56" s="31"/>
      <c r="AC56" s="208"/>
    </row>
    <row r="57" spans="19:29">
      <c r="S57" s="207"/>
      <c r="T57" s="31"/>
      <c r="U57" s="31"/>
      <c r="V57" s="31"/>
      <c r="W57" s="31"/>
      <c r="X57" s="31"/>
      <c r="Y57" s="31"/>
      <c r="Z57" s="31"/>
      <c r="AA57" s="31"/>
      <c r="AB57" s="31"/>
      <c r="AC57" s="208"/>
    </row>
    <row r="58" spans="19:29">
      <c r="S58" s="207"/>
      <c r="T58" s="31"/>
      <c r="U58" s="31"/>
      <c r="V58" s="31"/>
      <c r="W58" s="31"/>
      <c r="X58" s="31"/>
      <c r="Y58" s="31"/>
      <c r="Z58" s="31"/>
      <c r="AA58" s="31"/>
      <c r="AB58" s="31"/>
      <c r="AC58" s="208"/>
    </row>
    <row r="59" spans="19:29">
      <c r="S59" s="207"/>
      <c r="T59" s="31"/>
      <c r="U59" s="31"/>
      <c r="V59" s="31"/>
      <c r="W59" s="31"/>
      <c r="X59" s="31"/>
      <c r="Y59" s="31"/>
      <c r="Z59" s="31"/>
      <c r="AA59" s="31"/>
      <c r="AB59" s="31"/>
      <c r="AC59" s="208"/>
    </row>
    <row r="60" spans="19:29">
      <c r="S60" s="207"/>
      <c r="T60" s="31"/>
      <c r="U60" s="31"/>
      <c r="V60" s="31"/>
      <c r="W60" s="31"/>
      <c r="X60" s="31"/>
      <c r="Y60" s="31"/>
      <c r="Z60" s="31"/>
      <c r="AA60" s="31"/>
      <c r="AB60" s="31"/>
      <c r="AC60" s="208"/>
    </row>
    <row r="61" spans="19:29">
      <c r="S61" s="207"/>
      <c r="T61" s="31"/>
      <c r="U61" s="31"/>
      <c r="V61" s="31"/>
      <c r="W61" s="31"/>
      <c r="X61" s="31"/>
      <c r="Y61" s="31"/>
      <c r="Z61" s="31"/>
      <c r="AA61" s="31"/>
      <c r="AB61" s="31"/>
      <c r="AC61" s="208"/>
    </row>
    <row r="62" spans="19:29">
      <c r="S62" s="207"/>
      <c r="T62" s="31"/>
      <c r="U62" s="31"/>
      <c r="V62" s="31"/>
      <c r="W62" s="31"/>
      <c r="X62" s="31"/>
      <c r="Y62" s="31"/>
      <c r="Z62" s="31"/>
      <c r="AA62" s="31"/>
      <c r="AB62" s="31"/>
      <c r="AC62" s="208"/>
    </row>
    <row r="63" spans="19:29">
      <c r="S63" s="207"/>
      <c r="T63" s="31"/>
      <c r="U63" s="31"/>
      <c r="V63" s="31"/>
      <c r="W63" s="31"/>
      <c r="X63" s="31"/>
      <c r="Y63" s="31"/>
      <c r="Z63" s="31"/>
      <c r="AA63" s="31"/>
      <c r="AB63" s="31"/>
      <c r="AC63" s="208"/>
    </row>
    <row r="64" spans="19:29">
      <c r="S64" s="207"/>
      <c r="T64" s="31"/>
      <c r="U64" s="31"/>
      <c r="V64" s="31"/>
      <c r="W64" s="31"/>
      <c r="X64" s="31"/>
      <c r="Y64" s="31"/>
      <c r="Z64" s="31"/>
      <c r="AA64" s="31"/>
      <c r="AB64" s="31"/>
      <c r="AC64" s="208"/>
    </row>
    <row r="65" spans="19:29">
      <c r="S65" s="207"/>
      <c r="T65" s="31"/>
      <c r="U65" s="31"/>
      <c r="V65" s="31"/>
      <c r="W65" s="31"/>
      <c r="X65" s="31"/>
      <c r="Y65" s="31"/>
      <c r="Z65" s="31"/>
      <c r="AA65" s="31"/>
      <c r="AB65" s="31"/>
      <c r="AC65" s="208"/>
    </row>
    <row r="66" spans="19:29">
      <c r="S66" s="207"/>
      <c r="T66" s="31"/>
      <c r="U66" s="31"/>
      <c r="V66" s="31"/>
      <c r="W66" s="31"/>
      <c r="X66" s="31"/>
      <c r="Y66" s="31"/>
      <c r="Z66" s="31"/>
      <c r="AA66" s="31"/>
      <c r="AB66" s="31"/>
      <c r="AC66" s="208"/>
    </row>
    <row r="67" spans="19:29">
      <c r="S67" s="207"/>
      <c r="T67" s="31"/>
      <c r="U67" s="31"/>
      <c r="V67" s="31"/>
      <c r="W67" s="31"/>
      <c r="X67" s="31"/>
      <c r="Y67" s="31"/>
      <c r="Z67" s="31"/>
      <c r="AA67" s="31"/>
      <c r="AB67" s="31"/>
      <c r="AC67" s="208"/>
    </row>
    <row r="68" spans="19:29">
      <c r="S68" s="207"/>
      <c r="T68" s="31"/>
      <c r="U68" s="31"/>
      <c r="V68" s="31"/>
      <c r="W68" s="31"/>
      <c r="X68" s="31"/>
      <c r="Y68" s="31"/>
      <c r="Z68" s="31"/>
      <c r="AA68" s="31"/>
      <c r="AB68" s="31"/>
      <c r="AC68" s="208"/>
    </row>
    <row r="69" spans="19:29">
      <c r="S69" s="207"/>
      <c r="T69" s="31"/>
      <c r="U69" s="31"/>
      <c r="V69" s="31"/>
      <c r="W69" s="31"/>
      <c r="X69" s="31"/>
      <c r="Y69" s="31"/>
      <c r="Z69" s="31"/>
      <c r="AA69" s="31"/>
      <c r="AB69" s="31"/>
      <c r="AC69" s="208"/>
    </row>
    <row r="70" spans="19:29">
      <c r="S70" s="207"/>
      <c r="T70" s="31"/>
      <c r="U70" s="31"/>
      <c r="V70" s="31"/>
      <c r="W70" s="31"/>
      <c r="X70" s="31"/>
      <c r="Y70" s="31"/>
      <c r="Z70" s="31"/>
      <c r="AA70" s="31"/>
      <c r="AB70" s="31"/>
      <c r="AC70" s="208"/>
    </row>
    <row r="71" spans="19:29">
      <c r="S71" s="207"/>
      <c r="T71" s="31"/>
      <c r="U71" s="31"/>
      <c r="V71" s="31"/>
      <c r="W71" s="31"/>
      <c r="X71" s="31"/>
      <c r="Y71" s="31"/>
      <c r="Z71" s="31"/>
      <c r="AA71" s="31"/>
      <c r="AB71" s="31"/>
      <c r="AC71" s="208"/>
    </row>
    <row r="72" spans="19:29">
      <c r="S72" s="207"/>
      <c r="T72" s="31"/>
      <c r="U72" s="31"/>
      <c r="V72" s="31"/>
      <c r="W72" s="31"/>
      <c r="X72" s="31"/>
      <c r="Y72" s="31"/>
      <c r="Z72" s="31"/>
      <c r="AA72" s="31"/>
      <c r="AB72" s="31"/>
      <c r="AC72" s="208"/>
    </row>
    <row r="73" spans="19:29">
      <c r="S73" s="207"/>
      <c r="T73" s="31"/>
      <c r="U73" s="31"/>
      <c r="V73" s="31"/>
      <c r="W73" s="31"/>
      <c r="X73" s="31"/>
      <c r="Y73" s="31"/>
      <c r="Z73" s="31"/>
      <c r="AA73" s="31"/>
      <c r="AB73" s="31"/>
      <c r="AC73" s="208"/>
    </row>
    <row r="74" spans="19:29">
      <c r="S74" s="207"/>
      <c r="T74" s="31"/>
      <c r="U74" s="31"/>
      <c r="V74" s="31"/>
      <c r="W74" s="31"/>
      <c r="X74" s="31"/>
      <c r="Y74" s="31"/>
      <c r="Z74" s="31"/>
      <c r="AA74" s="31"/>
      <c r="AB74" s="31"/>
      <c r="AC74" s="208"/>
    </row>
    <row r="75" spans="19:29">
      <c r="S75" s="207"/>
      <c r="T75" s="31"/>
      <c r="U75" s="31"/>
      <c r="V75" s="31"/>
      <c r="W75" s="31"/>
      <c r="X75" s="31"/>
      <c r="Y75" s="31"/>
      <c r="Z75" s="31"/>
      <c r="AA75" s="31"/>
      <c r="AB75" s="31"/>
      <c r="AC75" s="208"/>
    </row>
    <row r="76" spans="19:29">
      <c r="S76" s="207"/>
      <c r="T76" s="31"/>
      <c r="U76" s="31"/>
      <c r="V76" s="31"/>
      <c r="W76" s="31"/>
      <c r="X76" s="31"/>
      <c r="Y76" s="31"/>
      <c r="Z76" s="31"/>
      <c r="AA76" s="31"/>
      <c r="AB76" s="31"/>
      <c r="AC76" s="208"/>
    </row>
    <row r="77" spans="19:29">
      <c r="S77" s="207"/>
      <c r="T77" s="31"/>
      <c r="U77" s="31"/>
      <c r="V77" s="31"/>
      <c r="W77" s="31"/>
      <c r="X77" s="31"/>
      <c r="Y77" s="31"/>
      <c r="Z77" s="31"/>
      <c r="AA77" s="31"/>
      <c r="AB77" s="31"/>
      <c r="AC77" s="208"/>
    </row>
    <row r="78" spans="19:29" ht="16.5" thickBot="1">
      <c r="S78" s="209"/>
      <c r="T78" s="210"/>
      <c r="U78" s="210"/>
      <c r="V78" s="210"/>
      <c r="W78" s="210"/>
      <c r="X78" s="210"/>
      <c r="Y78" s="210"/>
      <c r="Z78" s="210"/>
      <c r="AA78" s="210"/>
      <c r="AB78" s="210"/>
      <c r="AC78" s="211"/>
    </row>
  </sheetData>
  <mergeCells count="4">
    <mergeCell ref="C2:Q2"/>
    <mergeCell ref="P5:Q5"/>
    <mergeCell ref="D5:E5"/>
    <mergeCell ref="G5:N5"/>
  </mergeCells>
  <conditionalFormatting sqref="Q12">
    <cfRule type="cellIs" dxfId="37" priority="19" stopIfTrue="1" operator="equal">
      <formula>"C.N.V"</formula>
    </cfRule>
    <cfRule type="cellIs" dxfId="36" priority="20" stopIfTrue="1" operator="equal">
      <formula>$Q$12</formula>
    </cfRule>
  </conditionalFormatting>
  <conditionalFormatting sqref="Q7:Q26">
    <cfRule type="cellIs" dxfId="35" priority="23" stopIfTrue="1" operator="equal">
      <formula>"C.N.V"</formula>
    </cfRule>
    <cfRule type="cellIs" dxfId="34" priority="24" stopIfTrue="1" operator="equal">
      <formula>$G$7</formula>
    </cfRule>
  </conditionalFormatting>
  <conditionalFormatting sqref="P7:Q26">
    <cfRule type="cellIs" dxfId="33" priority="9" stopIfTrue="1" operator="equal">
      <formula>"C.N.V"</formula>
    </cfRule>
    <cfRule type="cellIs" dxfId="32" priority="10" stopIfTrue="1" operator="equal">
      <formula>"C.V"</formula>
    </cfRule>
  </conditionalFormatting>
  <conditionalFormatting sqref="Q7:Q26">
    <cfRule type="cellIs" dxfId="31" priority="5" stopIfTrue="1" operator="equal">
      <formula>"C.N.V"</formula>
    </cfRule>
    <cfRule type="cellIs" dxfId="30" priority="6" stopIfTrue="1" operator="equal">
      <formula>$G$7</formula>
    </cfRule>
  </conditionalFormatting>
  <conditionalFormatting sqref="O5">
    <cfRule type="cellIs" dxfId="29" priority="2" operator="equal">
      <formula>"OUI"</formula>
    </cfRule>
    <cfRule type="cellIs" dxfId="28" priority="1" operator="equal">
      <formula>"NON"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>
    <tabColor rgb="FF002060"/>
  </sheetPr>
  <dimension ref="C1:AG30"/>
  <sheetViews>
    <sheetView showGridLines="0" workbookViewId="0">
      <selection activeCell="U5" sqref="U5"/>
    </sheetView>
  </sheetViews>
  <sheetFormatPr defaultColWidth="9.140625" defaultRowHeight="15.75"/>
  <cols>
    <col min="1" max="3" width="9.140625" style="1"/>
    <col min="4" max="4" width="5.7109375" style="1" bestFit="1" customWidth="1"/>
    <col min="5" max="5" width="7" style="1" bestFit="1" customWidth="1"/>
    <col min="6" max="6" width="10.42578125" style="1" bestFit="1" customWidth="1"/>
    <col min="7" max="7" width="7.7109375" style="1" bestFit="1" customWidth="1"/>
    <col min="8" max="8" width="7.42578125" style="1" bestFit="1" customWidth="1"/>
    <col min="9" max="9" width="11.28515625" style="1" bestFit="1" customWidth="1"/>
    <col min="10" max="10" width="8.140625" style="1" bestFit="1" customWidth="1"/>
    <col min="11" max="11" width="10.28515625" style="1" bestFit="1" customWidth="1"/>
    <col min="12" max="12" width="7.85546875" style="1" bestFit="1" customWidth="1"/>
    <col min="13" max="13" width="7" style="1" bestFit="1" customWidth="1"/>
    <col min="14" max="14" width="11.28515625" style="1" bestFit="1" customWidth="1"/>
    <col min="15" max="15" width="3.28515625" style="1" customWidth="1"/>
    <col min="16" max="17" width="8.85546875" style="1" customWidth="1"/>
    <col min="18" max="18" width="11.5703125" style="1" bestFit="1" customWidth="1"/>
    <col min="19" max="19" width="8.85546875" style="1" customWidth="1"/>
    <col min="20" max="20" width="9" style="1" bestFit="1" customWidth="1"/>
    <col min="21" max="21" width="11.28515625" style="1" bestFit="1" customWidth="1"/>
    <col min="22" max="16384" width="9.140625" style="1"/>
  </cols>
  <sheetData>
    <row r="1" spans="3:33" ht="16.5" thickBot="1"/>
    <row r="2" spans="3:33" ht="21" customHeight="1" thickTop="1">
      <c r="C2" s="383" t="s">
        <v>148</v>
      </c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4"/>
      <c r="O2" s="384"/>
      <c r="P2" s="384"/>
      <c r="Q2" s="384"/>
      <c r="R2" s="384"/>
      <c r="S2" s="384"/>
      <c r="T2" s="384"/>
      <c r="U2" s="385"/>
    </row>
    <row r="3" spans="3:33" ht="16.5" thickBot="1">
      <c r="C3" s="46" t="s">
        <v>146</v>
      </c>
      <c r="D3" s="47"/>
      <c r="E3" s="48" t="str">
        <f>'CALCUL RPA'!$D$3</f>
        <v>Vers 1.5.1</v>
      </c>
      <c r="F3" s="48"/>
      <c r="G3" s="49"/>
      <c r="H3" s="49"/>
      <c r="I3" s="50"/>
      <c r="J3" s="49"/>
      <c r="K3" s="49"/>
      <c r="L3" s="49"/>
      <c r="M3" s="50"/>
      <c r="N3" s="48"/>
      <c r="O3" s="48"/>
      <c r="P3" s="49"/>
      <c r="Q3" s="47"/>
      <c r="R3" s="47"/>
      <c r="S3" s="47"/>
      <c r="T3" s="47"/>
      <c r="U3" s="51"/>
    </row>
    <row r="4" spans="3:33" ht="17.25" thickTop="1" thickBot="1"/>
    <row r="5" spans="3:33" ht="17.25" thickTop="1" thickBot="1">
      <c r="C5" s="41"/>
      <c r="D5" s="41"/>
      <c r="E5" s="386" t="s">
        <v>113</v>
      </c>
      <c r="F5" s="387"/>
      <c r="G5" s="387"/>
      <c r="H5" s="387"/>
      <c r="I5" s="387"/>
      <c r="J5" s="387"/>
      <c r="K5" s="387"/>
      <c r="L5" s="387"/>
      <c r="M5" s="387"/>
      <c r="N5" s="388"/>
      <c r="O5" s="54"/>
      <c r="P5" s="380" t="s">
        <v>115</v>
      </c>
      <c r="Q5" s="381"/>
      <c r="R5" s="381"/>
      <c r="S5" s="382"/>
      <c r="T5" s="58" t="s">
        <v>114</v>
      </c>
      <c r="U5" s="44" t="s">
        <v>244</v>
      </c>
      <c r="W5" s="204"/>
      <c r="X5" s="205"/>
      <c r="Y5" s="205"/>
      <c r="Z5" s="205"/>
      <c r="AA5" s="205"/>
      <c r="AB5" s="205"/>
      <c r="AC5" s="205"/>
      <c r="AD5" s="205"/>
      <c r="AE5" s="205"/>
      <c r="AF5" s="205"/>
      <c r="AG5" s="206"/>
    </row>
    <row r="6" spans="3:33" ht="17.25" thickTop="1" thickBot="1">
      <c r="C6" s="41"/>
      <c r="D6" s="41"/>
      <c r="E6" s="392" t="s">
        <v>144</v>
      </c>
      <c r="F6" s="392"/>
      <c r="G6" s="392"/>
      <c r="H6" s="392"/>
      <c r="I6" s="392"/>
      <c r="J6" s="392" t="s">
        <v>145</v>
      </c>
      <c r="K6" s="392"/>
      <c r="L6" s="392"/>
      <c r="M6" s="392"/>
      <c r="N6" s="392"/>
      <c r="O6" s="54"/>
      <c r="P6" s="389" t="s">
        <v>144</v>
      </c>
      <c r="Q6" s="390"/>
      <c r="R6" s="391"/>
      <c r="S6" s="389" t="s">
        <v>145</v>
      </c>
      <c r="T6" s="390"/>
      <c r="U6" s="391"/>
      <c r="W6" s="207"/>
      <c r="X6" s="31"/>
      <c r="Y6" s="31"/>
      <c r="Z6" s="31"/>
      <c r="AA6" s="31"/>
      <c r="AB6" s="31"/>
      <c r="AC6" s="31"/>
      <c r="AD6" s="31"/>
      <c r="AE6" s="31"/>
      <c r="AF6" s="31"/>
      <c r="AG6" s="208"/>
    </row>
    <row r="7" spans="3:33" ht="20.25" customHeight="1" thickTop="1" thickBot="1">
      <c r="C7" s="138" t="s">
        <v>81</v>
      </c>
      <c r="D7" s="138" t="s">
        <v>98</v>
      </c>
      <c r="E7" s="138" t="s">
        <v>216</v>
      </c>
      <c r="F7" s="138" t="s">
        <v>217</v>
      </c>
      <c r="G7" s="138" t="s">
        <v>102</v>
      </c>
      <c r="H7" s="138" t="s">
        <v>112</v>
      </c>
      <c r="I7" s="138" t="s">
        <v>106</v>
      </c>
      <c r="J7" s="138" t="s">
        <v>216</v>
      </c>
      <c r="K7" s="138" t="s">
        <v>218</v>
      </c>
      <c r="L7" s="138" t="s">
        <v>103</v>
      </c>
      <c r="M7" s="138" t="s">
        <v>112</v>
      </c>
      <c r="N7" s="138" t="s">
        <v>107</v>
      </c>
      <c r="O7" s="57"/>
      <c r="P7" s="138" t="s">
        <v>142</v>
      </c>
      <c r="Q7" s="138" t="s">
        <v>112</v>
      </c>
      <c r="R7" s="138" t="s">
        <v>106</v>
      </c>
      <c r="S7" s="138" t="s">
        <v>143</v>
      </c>
      <c r="T7" s="138" t="s">
        <v>112</v>
      </c>
      <c r="U7" s="138" t="s">
        <v>107</v>
      </c>
      <c r="W7" s="207"/>
      <c r="X7" s="31"/>
      <c r="Y7" s="31"/>
      <c r="Z7" s="31"/>
      <c r="AA7" s="31"/>
      <c r="AB7" s="31"/>
      <c r="AC7" s="31"/>
      <c r="AD7" s="31"/>
      <c r="AE7" s="31"/>
      <c r="AF7" s="31"/>
      <c r="AG7" s="208"/>
    </row>
    <row r="8" spans="3:33" ht="17.25" thickTop="1" thickBot="1">
      <c r="C8" s="183">
        <f>Données!D14</f>
        <v>1</v>
      </c>
      <c r="D8" s="43">
        <f>IF(Données!F14=0," ",Données!F14)</f>
        <v>3.06</v>
      </c>
      <c r="E8" s="43">
        <f>IF(D8=" "," ",'CALCUL RPA'!$J$8/'CALCUL RPA'!$G$8)</f>
        <v>3.75</v>
      </c>
      <c r="F8" s="224">
        <f>IF(D8=" "," ",Données!H14)</f>
        <v>2.8000000000000001E-2</v>
      </c>
      <c r="G8" s="224">
        <f>IF(Données!F14=0," ",Données!H14*E8)</f>
        <v>0.105</v>
      </c>
      <c r="H8" s="224">
        <f>IF(Données!F14=0," ",0.015*D8*100)</f>
        <v>4.59</v>
      </c>
      <c r="I8" s="53" t="str">
        <f>IF(Données!F14=0," ",IF(G8&lt;M8, "OK","C.N.V"))</f>
        <v>OK</v>
      </c>
      <c r="J8" s="43">
        <f>IF(D8=" "," ",'CALCUL RPA'!$J$8/'CALCUL RPA'!$G$8)</f>
        <v>3.75</v>
      </c>
      <c r="K8" s="224">
        <f>IF(D8=" "," ",Données!I14)</f>
        <v>2.5000000000000001E-2</v>
      </c>
      <c r="L8" s="224">
        <f>IF(Données!F14=0," ",Données!I14*J8)</f>
        <v>9.375E-2</v>
      </c>
      <c r="M8" s="224">
        <f>IF(Données!F14=0," ",0.015*D8*100)</f>
        <v>4.59</v>
      </c>
      <c r="N8" s="53" t="str">
        <f>IF(Données!F14=0," ",IF(L8&lt;M8, "OK","C.N.V"))</f>
        <v>OK</v>
      </c>
      <c r="O8" s="55"/>
      <c r="P8" s="224">
        <f>IF(Données!F14=0," ",G8*0.5)</f>
        <v>5.2499999999999998E-2</v>
      </c>
      <c r="Q8" s="224">
        <f>IF(Données!F14=0," ",IF($U$5="0,005hk",0.005*D8*100,0.0075*D8*100))</f>
        <v>2.2949999999999999</v>
      </c>
      <c r="R8" s="53" t="str">
        <f>IF(Données!F14=0," ",IF(P8&lt;T8, "OK","C.N.V"))</f>
        <v>OK</v>
      </c>
      <c r="S8" s="224">
        <f>IF(Données!F14=0," ",L8*0.5)</f>
        <v>4.6875E-2</v>
      </c>
      <c r="T8" s="224">
        <f>IF(Données!F14=0," ",IF($U$5="0,005hk",0.005*D8*100,0.0075*D8*100))</f>
        <v>2.2949999999999999</v>
      </c>
      <c r="U8" s="53" t="str">
        <f>IF(Données!F14=0," ",IF(S8&lt;T8, "OK","C.N.V"))</f>
        <v>OK</v>
      </c>
      <c r="W8" s="207"/>
      <c r="X8" s="31"/>
      <c r="Y8" s="31"/>
      <c r="Z8" s="31"/>
      <c r="AA8" s="31"/>
      <c r="AB8" s="31"/>
      <c r="AC8" s="31"/>
      <c r="AD8" s="31"/>
      <c r="AE8" s="31"/>
      <c r="AF8" s="31"/>
      <c r="AG8" s="208"/>
    </row>
    <row r="9" spans="3:33" ht="17.25" thickTop="1" thickBot="1">
      <c r="C9" s="183">
        <f>Données!D15</f>
        <v>2</v>
      </c>
      <c r="D9" s="43">
        <f>IF(Données!F15=0," ",Données!F15)</f>
        <v>3.06</v>
      </c>
      <c r="E9" s="43">
        <f>IF(D9=" "," ",'CALCUL RPA'!$J$8/'CALCUL RPA'!$G$8)</f>
        <v>3.75</v>
      </c>
      <c r="F9" s="224">
        <f>IF(D9=" "," ",Données!H15)</f>
        <v>4.7E-2</v>
      </c>
      <c r="G9" s="224">
        <f>IF(Données!F15=0," ",Données!H15*E9)</f>
        <v>0.17624999999999999</v>
      </c>
      <c r="H9" s="224">
        <f>IF(Données!F15=0," ",0.015*D9*100)</f>
        <v>4.59</v>
      </c>
      <c r="I9" s="43" t="str">
        <f>IF(Données!F15=0," ",IF(G9&lt;M9, "OK","C.N.V"))</f>
        <v>OK</v>
      </c>
      <c r="J9" s="43">
        <f>IF(D9=" "," ",'CALCUL RPA'!$J$8/'CALCUL RPA'!$G$8)</f>
        <v>3.75</v>
      </c>
      <c r="K9" s="224">
        <f>IF(D9=" "," ",Données!I15)</f>
        <v>4.2999999999999997E-2</v>
      </c>
      <c r="L9" s="224">
        <f>IF(Données!F15=0," ",Données!I15*J9)</f>
        <v>0.16124999999999998</v>
      </c>
      <c r="M9" s="224">
        <f>IF(Données!F15=0," ",0.015*D9*100)</f>
        <v>4.59</v>
      </c>
      <c r="N9" s="43" t="str">
        <f>IF(Données!F15=0," ",IF(L9&lt;M9, "OK","C.N.V"))</f>
        <v>OK</v>
      </c>
      <c r="O9" s="56"/>
      <c r="P9" s="224">
        <f>IF(Données!F15=0," ",G9*0.5)</f>
        <v>8.8124999999999995E-2</v>
      </c>
      <c r="Q9" s="224">
        <f>IF(Données!F15=0," ",IF($U$5="0,005hk",0.005*D9*100,0.0075*D9*100))</f>
        <v>2.2949999999999999</v>
      </c>
      <c r="R9" s="43" t="str">
        <f>IF(Données!F15=0," ",IF(P9&lt;T9, "OK","C.N.V"))</f>
        <v>OK</v>
      </c>
      <c r="S9" s="224">
        <f>IF(Données!F15=0," ",L9*0.5)</f>
        <v>8.0624999999999988E-2</v>
      </c>
      <c r="T9" s="224">
        <f>IF(Données!F15=0," ",IF($U$5="0,005hk",0.005*D9*100,0.0075*D9*100))</f>
        <v>2.2949999999999999</v>
      </c>
      <c r="U9" s="43" t="str">
        <f>IF(Données!F15=0," ",IF(S9&lt;T9, "OK","C.N.V"))</f>
        <v>OK</v>
      </c>
      <c r="W9" s="214"/>
      <c r="X9" s="31"/>
      <c r="Y9" s="31"/>
      <c r="Z9" s="31"/>
      <c r="AA9" s="31"/>
      <c r="AB9" s="31"/>
      <c r="AC9" s="31"/>
      <c r="AD9" s="31"/>
      <c r="AE9" s="31"/>
      <c r="AF9" s="31"/>
      <c r="AG9" s="208"/>
    </row>
    <row r="10" spans="3:33" ht="17.25" thickTop="1" thickBot="1">
      <c r="C10" s="183">
        <f>Données!D16</f>
        <v>3</v>
      </c>
      <c r="D10" s="43">
        <f>IF(Données!F16=0," ",Données!F16)</f>
        <v>3.06</v>
      </c>
      <c r="E10" s="43">
        <f>IF(D10=" "," ",'CALCUL RPA'!$J$8/'CALCUL RPA'!$G$8)</f>
        <v>3.75</v>
      </c>
      <c r="F10" s="224">
        <f>IF(D10=" "," ",Données!H16)</f>
        <v>4.8000000000000001E-2</v>
      </c>
      <c r="G10" s="224">
        <f>IF(Données!F16=0," ",Données!H16*E10)</f>
        <v>0.18</v>
      </c>
      <c r="H10" s="224">
        <f>IF(Données!F16=0," ",0.015*D10*100)</f>
        <v>4.59</v>
      </c>
      <c r="I10" s="43" t="str">
        <f>IF(Données!F16=0," ",IF(G10&lt;M10, "OK","C.N.V"))</f>
        <v>OK</v>
      </c>
      <c r="J10" s="43">
        <f>IF(D10=" "," ",'CALCUL RPA'!$J$8/'CALCUL RPA'!$G$8)</f>
        <v>3.75</v>
      </c>
      <c r="K10" s="224">
        <f>IF(D10=" "," ",Données!I16)</f>
        <v>4.3999999999999997E-2</v>
      </c>
      <c r="L10" s="224">
        <f>IF(Données!F16=0," ",Données!I16*J10)</f>
        <v>0.16499999999999998</v>
      </c>
      <c r="M10" s="224">
        <f>IF(Données!F16=0," ",0.015*D10*100)</f>
        <v>4.59</v>
      </c>
      <c r="N10" s="43" t="str">
        <f>IF(Données!F16=0," ",IF(L10&lt;M10, "OK","C.N.V"))</f>
        <v>OK</v>
      </c>
      <c r="O10" s="56"/>
      <c r="P10" s="224">
        <f>IF(Données!F16=0," ",G10*0.5)</f>
        <v>0.09</v>
      </c>
      <c r="Q10" s="224">
        <f>IF(Données!F16=0," ",IF($U$5="0,005hk",0.005*D10*100,0.0075*D10*100))</f>
        <v>2.2949999999999999</v>
      </c>
      <c r="R10" s="43" t="str">
        <f>IF(Données!F16=0," ",IF(P10&lt;T10, "OK","C.N.V"))</f>
        <v>OK</v>
      </c>
      <c r="S10" s="224">
        <f>IF(Données!F16=0," ",L10*0.5)</f>
        <v>8.249999999999999E-2</v>
      </c>
      <c r="T10" s="224">
        <f>IF(Données!F16=0," ",IF($U$5="0,005hk",0.005*D10*100,0.0075*D10*100))</f>
        <v>2.2949999999999999</v>
      </c>
      <c r="U10" s="43" t="str">
        <f>IF(Données!F16=0," ",IF(S10&lt;T10, "OK","C.N.V"))</f>
        <v>OK</v>
      </c>
      <c r="W10" s="207"/>
      <c r="X10" s="31"/>
      <c r="Y10" s="31"/>
      <c r="Z10" s="31"/>
      <c r="AA10" s="31"/>
      <c r="AB10" s="31"/>
      <c r="AC10" s="31"/>
      <c r="AD10" s="31"/>
      <c r="AE10" s="31"/>
      <c r="AF10" s="31"/>
      <c r="AG10" s="208"/>
    </row>
    <row r="11" spans="3:33" ht="17.25" thickTop="1" thickBot="1">
      <c r="C11" s="183">
        <f>Données!D17</f>
        <v>4</v>
      </c>
      <c r="D11" s="43">
        <f>IF(Données!F17=0," ",Données!F17)</f>
        <v>3.06</v>
      </c>
      <c r="E11" s="43">
        <f>IF(D11=" "," ",'CALCUL RPA'!$J$8/'CALCUL RPA'!$G$8)</f>
        <v>3.75</v>
      </c>
      <c r="F11" s="224">
        <f>IF(D11=" "," ",Données!H17)</f>
        <v>4.1000000000000002E-2</v>
      </c>
      <c r="G11" s="224">
        <f>IF(Données!F17=0," ",Données!H17*E11)</f>
        <v>0.15375</v>
      </c>
      <c r="H11" s="224">
        <f>IF(Données!F17=0," ",0.015*D11*100)</f>
        <v>4.59</v>
      </c>
      <c r="I11" s="43" t="str">
        <f>IF(Données!F17=0," ",IF(G11&lt;M11, "OK","C.N.V"))</f>
        <v>OK</v>
      </c>
      <c r="J11" s="43">
        <f>IF(D11=" "," ",'CALCUL RPA'!$J$8/'CALCUL RPA'!$G$8)</f>
        <v>3.75</v>
      </c>
      <c r="K11" s="224">
        <f>IF(D11=" "," ",Données!I17)</f>
        <v>3.9E-2</v>
      </c>
      <c r="L11" s="224">
        <f>IF(Données!F17=0," ",Données!I17*J11)</f>
        <v>0.14624999999999999</v>
      </c>
      <c r="M11" s="224">
        <f>IF(Données!F17=0," ",0.015*D11*100)</f>
        <v>4.59</v>
      </c>
      <c r="N11" s="43" t="str">
        <f>IF(Données!F17=0," ",IF(L11&lt;M11, "OK","C.N.V"))</f>
        <v>OK</v>
      </c>
      <c r="O11" s="56"/>
      <c r="P11" s="224">
        <f>IF(Données!F17=0," ",G11*0.5)</f>
        <v>7.6874999999999999E-2</v>
      </c>
      <c r="Q11" s="224">
        <f>IF(Données!F17=0," ",IF($U$5="0,005hk",0.005*D11*100,0.0075*D11*100))</f>
        <v>2.2949999999999999</v>
      </c>
      <c r="R11" s="43" t="str">
        <f>IF(Données!F17=0," ",IF(P11&lt;T11, "OK","C.N.V"))</f>
        <v>OK</v>
      </c>
      <c r="S11" s="224">
        <f>IF(Données!F17=0," ",L11*0.5)</f>
        <v>7.3124999999999996E-2</v>
      </c>
      <c r="T11" s="224">
        <f>IF(Données!F17=0," ",IF($U$5="0,005hk",0.005*D11*100,0.0075*D11*100))</f>
        <v>2.2949999999999999</v>
      </c>
      <c r="U11" s="43" t="str">
        <f>IF(Données!F17=0," ",IF(S11&lt;T11, "OK","C.N.V"))</f>
        <v>OK</v>
      </c>
      <c r="W11" s="207"/>
      <c r="X11" s="31"/>
      <c r="Y11" s="31"/>
      <c r="Z11" s="31"/>
      <c r="AA11" s="31"/>
      <c r="AB11" s="31"/>
      <c r="AC11" s="31"/>
      <c r="AD11" s="31"/>
      <c r="AE11" s="31"/>
      <c r="AF11" s="31"/>
      <c r="AG11" s="208"/>
    </row>
    <row r="12" spans="3:33" ht="17.25" thickTop="1" thickBot="1">
      <c r="C12" s="183">
        <f>Données!D18</f>
        <v>5</v>
      </c>
      <c r="D12" s="43">
        <f>IF(Données!F18=0," ",Données!F18)</f>
        <v>3.06</v>
      </c>
      <c r="E12" s="43">
        <f>IF(D12=" "," ",'CALCUL RPA'!$J$8/'CALCUL RPA'!$G$8)</f>
        <v>3.75</v>
      </c>
      <c r="F12" s="224">
        <f>IF(D12=" "," ",Données!H18)</f>
        <v>3.3000000000000002E-2</v>
      </c>
      <c r="G12" s="224">
        <f>IF(Données!F18=0," ",Données!H18*E12)</f>
        <v>0.12375</v>
      </c>
      <c r="H12" s="224">
        <f>IF(Données!F18=0," ",0.015*D12*100)</f>
        <v>4.59</v>
      </c>
      <c r="I12" s="43" t="str">
        <f>IF(Données!F18=0," ",IF(G12&lt;M12, "OK","C.N.V"))</f>
        <v>OK</v>
      </c>
      <c r="J12" s="43">
        <f>IF(D12=" "," ",'CALCUL RPA'!$J$8/'CALCUL RPA'!$G$8)</f>
        <v>3.75</v>
      </c>
      <c r="K12" s="224">
        <f>IF(D12=" "," ",Données!I18)</f>
        <v>3.3000000000000002E-2</v>
      </c>
      <c r="L12" s="224">
        <f>IF(Données!F18=0," ",Données!I18*J12)</f>
        <v>0.12375</v>
      </c>
      <c r="M12" s="224">
        <f>IF(Données!F18=0," ",0.015*D12*100)</f>
        <v>4.59</v>
      </c>
      <c r="N12" s="43" t="str">
        <f>IF(Données!F18=0," ",IF(L12&lt;M12, "OK","C.N.V"))</f>
        <v>OK</v>
      </c>
      <c r="O12" s="56"/>
      <c r="P12" s="224">
        <f>IF(Données!F18=0," ",G12*0.5)</f>
        <v>6.1874999999999999E-2</v>
      </c>
      <c r="Q12" s="224">
        <f>IF(Données!F18=0," ",IF($U$5="0,005hk",0.005*D12*100,0.0075*D12*100))</f>
        <v>2.2949999999999999</v>
      </c>
      <c r="R12" s="43" t="str">
        <f>IF(Données!F18=0," ",IF(P12&lt;T12, "OK","C.N.V"))</f>
        <v>OK</v>
      </c>
      <c r="S12" s="224">
        <f>IF(Données!F18=0," ",L12*0.5)</f>
        <v>6.1874999999999999E-2</v>
      </c>
      <c r="T12" s="224">
        <f>IF(Données!F18=0," ",IF($U$5="0,005hk",0.005*D12*100,0.0075*D12*100))</f>
        <v>2.2949999999999999</v>
      </c>
      <c r="U12" s="43" t="str">
        <f>IF(Données!F18=0," ",IF(S12&lt;T12, "OK","C.N.V"))</f>
        <v>OK</v>
      </c>
      <c r="W12" s="207"/>
      <c r="X12" s="31"/>
      <c r="Y12" s="31"/>
      <c r="Z12" s="31"/>
      <c r="AA12" s="31"/>
      <c r="AB12" s="31"/>
      <c r="AC12" s="31"/>
      <c r="AD12" s="31"/>
      <c r="AE12" s="31"/>
      <c r="AF12" s="31"/>
      <c r="AG12" s="208"/>
    </row>
    <row r="13" spans="3:33" ht="17.25" thickTop="1" thickBot="1">
      <c r="C13" s="183" t="str">
        <f>Données!D19</f>
        <v xml:space="preserve"> </v>
      </c>
      <c r="D13" s="43" t="str">
        <f>IF(Données!F19=0," ",Données!F19)</f>
        <v xml:space="preserve"> </v>
      </c>
      <c r="E13" s="43" t="str">
        <f>IF(D13=" "," ",'CALCUL RPA'!$J$8/'CALCUL RPA'!$G$8)</f>
        <v xml:space="preserve"> </v>
      </c>
      <c r="F13" s="224" t="str">
        <f>IF(D13=" "," ",Données!H19)</f>
        <v xml:space="preserve"> </v>
      </c>
      <c r="G13" s="224" t="str">
        <f>IF(Données!F19=0," ",Données!H19*E13)</f>
        <v xml:space="preserve"> </v>
      </c>
      <c r="H13" s="224" t="str">
        <f>IF(Données!F19=0," ",0.015*D13*100)</f>
        <v xml:space="preserve"> </v>
      </c>
      <c r="I13" s="43" t="str">
        <f>IF(Données!F19=0," ",IF(G13&lt;M13, "OK","C.N.V"))</f>
        <v xml:space="preserve"> </v>
      </c>
      <c r="J13" s="43" t="str">
        <f>IF(D13=" "," ",'CALCUL RPA'!$J$8/'CALCUL RPA'!$G$8)</f>
        <v xml:space="preserve"> </v>
      </c>
      <c r="K13" s="224" t="str">
        <f>IF(D13=" "," ",Données!I19)</f>
        <v xml:space="preserve"> </v>
      </c>
      <c r="L13" s="224" t="str">
        <f>IF(Données!F19=0," ",Données!I19*J13)</f>
        <v xml:space="preserve"> </v>
      </c>
      <c r="M13" s="224" t="str">
        <f>IF(Données!F19=0," ",0.015*D13*100)</f>
        <v xml:space="preserve"> </v>
      </c>
      <c r="N13" s="43" t="str">
        <f>IF(Données!F19=0," ",IF(L13&lt;M13, "OK","C.N.V"))</f>
        <v xml:space="preserve"> </v>
      </c>
      <c r="O13" s="56"/>
      <c r="P13" s="224" t="str">
        <f>IF(Données!F19=0," ",G13*0.5)</f>
        <v xml:space="preserve"> </v>
      </c>
      <c r="Q13" s="224" t="str">
        <f>IF(Données!F19=0," ",IF($U$5="0,005hk",0.005*D13*100,0.0075*D13*100))</f>
        <v xml:space="preserve"> </v>
      </c>
      <c r="R13" s="43" t="str">
        <f>IF(Données!F19=0," ",IF(P13&lt;T13, "OK","C.N.V"))</f>
        <v xml:space="preserve"> </v>
      </c>
      <c r="S13" s="224" t="str">
        <f>IF(Données!F19=0," ",L13*0.5)</f>
        <v xml:space="preserve"> </v>
      </c>
      <c r="T13" s="224" t="str">
        <f>IF(Données!F19=0," ",IF($U$5="0,005hk",0.005*D13*100,0.0075*D13*100))</f>
        <v xml:space="preserve"> </v>
      </c>
      <c r="U13" s="43" t="str">
        <f>IF(Données!F19=0," ",IF(S13&lt;T13, "OK","C.N.V"))</f>
        <v xml:space="preserve"> </v>
      </c>
      <c r="W13" s="207"/>
      <c r="X13" s="31"/>
      <c r="Y13" s="31"/>
      <c r="Z13" s="31"/>
      <c r="AA13" s="31"/>
      <c r="AB13" s="31"/>
      <c r="AC13" s="31"/>
      <c r="AD13" s="31"/>
      <c r="AE13" s="31"/>
      <c r="AF13" s="31"/>
      <c r="AG13" s="208"/>
    </row>
    <row r="14" spans="3:33" ht="17.25" thickTop="1" thickBot="1">
      <c r="C14" s="183" t="str">
        <f>Données!D20</f>
        <v xml:space="preserve"> </v>
      </c>
      <c r="D14" s="43" t="str">
        <f>IF(Données!F20=0," ",Données!F20)</f>
        <v xml:space="preserve"> </v>
      </c>
      <c r="E14" s="43" t="str">
        <f>IF(D14=" "," ",'CALCUL RPA'!$J$8/'CALCUL RPA'!$G$8)</f>
        <v xml:space="preserve"> </v>
      </c>
      <c r="F14" s="224" t="str">
        <f>IF(D14=" "," ",Données!H20)</f>
        <v xml:space="preserve"> </v>
      </c>
      <c r="G14" s="224" t="str">
        <f>IF(Données!F20=0," ",Données!H20*E14)</f>
        <v xml:space="preserve"> </v>
      </c>
      <c r="H14" s="224" t="str">
        <f>IF(Données!F20=0," ",0.015*D14*100)</f>
        <v xml:space="preserve"> </v>
      </c>
      <c r="I14" s="43" t="str">
        <f>IF(Données!F20=0," ",IF(G14&lt;M14, "OK","C.N.V"))</f>
        <v xml:space="preserve"> </v>
      </c>
      <c r="J14" s="43" t="str">
        <f>IF(D14=" "," ",'CALCUL RPA'!$J$8/'CALCUL RPA'!$G$8)</f>
        <v xml:space="preserve"> </v>
      </c>
      <c r="K14" s="224" t="str">
        <f>IF(D14=" "," ",Données!I20)</f>
        <v xml:space="preserve"> </v>
      </c>
      <c r="L14" s="224" t="str">
        <f>IF(Données!F20=0," ",Données!I20*J14)</f>
        <v xml:space="preserve"> </v>
      </c>
      <c r="M14" s="224" t="str">
        <f>IF(Données!F20=0," ",0.015*D14*100)</f>
        <v xml:space="preserve"> </v>
      </c>
      <c r="N14" s="43" t="str">
        <f>IF(Données!F20=0," ",IF(L14&lt;M14, "OK","C.N.V"))</f>
        <v xml:space="preserve"> </v>
      </c>
      <c r="O14" s="56"/>
      <c r="P14" s="224" t="str">
        <f>IF(Données!F20=0," ",G14*0.5)</f>
        <v xml:space="preserve"> </v>
      </c>
      <c r="Q14" s="224" t="str">
        <f>IF(Données!F20=0," ",IF($U$5="0,005hk",0.005*D14*100,0.0075*D14*100))</f>
        <v xml:space="preserve"> </v>
      </c>
      <c r="R14" s="43" t="str">
        <f>IF(Données!F20=0," ",IF(P14&lt;T14, "OK","C.N.V"))</f>
        <v xml:space="preserve"> </v>
      </c>
      <c r="S14" s="224" t="str">
        <f>IF(Données!F20=0," ",L14*0.5)</f>
        <v xml:space="preserve"> </v>
      </c>
      <c r="T14" s="224" t="str">
        <f>IF(Données!F20=0," ",IF($U$5="0,005hk",0.005*D14*100,0.0075*D14*100))</f>
        <v xml:space="preserve"> </v>
      </c>
      <c r="U14" s="43" t="str">
        <f>IF(Données!F20=0," ",IF(S14&lt;T14, "OK","C.N.V"))</f>
        <v xml:space="preserve"> </v>
      </c>
      <c r="W14" s="207"/>
      <c r="X14" s="31"/>
      <c r="Y14" s="31"/>
      <c r="Z14" s="31"/>
      <c r="AA14" s="31"/>
      <c r="AB14" s="31"/>
      <c r="AC14" s="31"/>
      <c r="AD14" s="31"/>
      <c r="AE14" s="31"/>
      <c r="AF14" s="31"/>
      <c r="AG14" s="208"/>
    </row>
    <row r="15" spans="3:33" ht="17.25" thickTop="1" thickBot="1">
      <c r="C15" s="183" t="str">
        <f>Données!D21</f>
        <v xml:space="preserve"> </v>
      </c>
      <c r="D15" s="43" t="str">
        <f>IF(Données!F21=0," ",Données!F21)</f>
        <v xml:space="preserve"> </v>
      </c>
      <c r="E15" s="43" t="str">
        <f>IF(D15=" "," ",'CALCUL RPA'!$J$8/'CALCUL RPA'!$G$8)</f>
        <v xml:space="preserve"> </v>
      </c>
      <c r="F15" s="224" t="str">
        <f>IF(D15=" "," ",Données!H21)</f>
        <v xml:space="preserve"> </v>
      </c>
      <c r="G15" s="224" t="str">
        <f>IF(Données!F21=0," ",Données!H21*E15)</f>
        <v xml:space="preserve"> </v>
      </c>
      <c r="H15" s="224" t="str">
        <f>IF(Données!F21=0," ",0.015*D15*100)</f>
        <v xml:space="preserve"> </v>
      </c>
      <c r="I15" s="43" t="str">
        <f>IF(Données!F21=0," ",IF(G15&lt;M15, "OK","C.N.V"))</f>
        <v xml:space="preserve"> </v>
      </c>
      <c r="J15" s="43" t="str">
        <f>IF(D15=" "," ",'CALCUL RPA'!$J$8/'CALCUL RPA'!$G$8)</f>
        <v xml:space="preserve"> </v>
      </c>
      <c r="K15" s="224" t="str">
        <f>IF(D15=" "," ",Données!I21)</f>
        <v xml:space="preserve"> </v>
      </c>
      <c r="L15" s="224" t="str">
        <f>IF(Données!F21=0," ",Données!I21*J15)</f>
        <v xml:space="preserve"> </v>
      </c>
      <c r="M15" s="224" t="str">
        <f>IF(Données!F21=0," ",0.015*D15*100)</f>
        <v xml:space="preserve"> </v>
      </c>
      <c r="N15" s="43" t="str">
        <f>IF(Données!F21=0," ",IF(L15&lt;M15, "OK","C.N.V"))</f>
        <v xml:space="preserve"> </v>
      </c>
      <c r="O15" s="56"/>
      <c r="P15" s="224" t="str">
        <f>IF(Données!F21=0," ",G15*0.5)</f>
        <v xml:space="preserve"> </v>
      </c>
      <c r="Q15" s="224" t="str">
        <f>IF(Données!F21=0," ",IF($U$5="0,005hk",0.005*D15*100,0.0075*D15*100))</f>
        <v xml:space="preserve"> </v>
      </c>
      <c r="R15" s="43" t="str">
        <f>IF(Données!F21=0," ",IF(P15&lt;T15, "OK","C.N.V"))</f>
        <v xml:space="preserve"> </v>
      </c>
      <c r="S15" s="224" t="str">
        <f>IF(Données!F21=0," ",L15*0.5)</f>
        <v xml:space="preserve"> </v>
      </c>
      <c r="T15" s="224" t="str">
        <f>IF(Données!F21=0," ",IF($U$5="0,005hk",0.005*D15*100,0.0075*D15*100))</f>
        <v xml:space="preserve"> </v>
      </c>
      <c r="U15" s="43" t="str">
        <f>IF(Données!F21=0," ",IF(S15&lt;T15, "OK","C.N.V"))</f>
        <v xml:space="preserve"> </v>
      </c>
      <c r="W15" s="207"/>
      <c r="X15" s="31"/>
      <c r="Y15" s="31"/>
      <c r="Z15" s="31"/>
      <c r="AA15" s="31"/>
      <c r="AB15" s="31"/>
      <c r="AC15" s="31"/>
      <c r="AD15" s="31"/>
      <c r="AE15" s="31"/>
      <c r="AF15" s="31"/>
      <c r="AG15" s="208"/>
    </row>
    <row r="16" spans="3:33" ht="17.25" thickTop="1" thickBot="1">
      <c r="C16" s="183" t="str">
        <f>Données!D22</f>
        <v xml:space="preserve"> </v>
      </c>
      <c r="D16" s="43" t="str">
        <f>IF(Données!F22=0," ",Données!F22)</f>
        <v xml:space="preserve"> </v>
      </c>
      <c r="E16" s="43" t="str">
        <f>IF(D16=" "," ",'CALCUL RPA'!$J$8/'CALCUL RPA'!$G$8)</f>
        <v xml:space="preserve"> </v>
      </c>
      <c r="F16" s="224" t="str">
        <f>IF(D16=" "," ",Données!H22)</f>
        <v xml:space="preserve"> </v>
      </c>
      <c r="G16" s="224" t="str">
        <f>IF(Données!F22=0," ",Données!H22*E16)</f>
        <v xml:space="preserve"> </v>
      </c>
      <c r="H16" s="224" t="str">
        <f>IF(Données!F22=0," ",0.015*D16*100)</f>
        <v xml:space="preserve"> </v>
      </c>
      <c r="I16" s="43" t="str">
        <f>IF(Données!F22=0," ",IF(G16&lt;M16, "OK","C.N.V"))</f>
        <v xml:space="preserve"> </v>
      </c>
      <c r="J16" s="43" t="str">
        <f>IF(D16=" "," ",'CALCUL RPA'!$J$8/'CALCUL RPA'!$G$8)</f>
        <v xml:space="preserve"> </v>
      </c>
      <c r="K16" s="224" t="str">
        <f>IF(D16=" "," ",Données!I22)</f>
        <v xml:space="preserve"> </v>
      </c>
      <c r="L16" s="224" t="str">
        <f>IF(Données!F22=0," ",Données!I22*J16)</f>
        <v xml:space="preserve"> </v>
      </c>
      <c r="M16" s="224" t="str">
        <f>IF(Données!F22=0," ",0.015*D16*100)</f>
        <v xml:space="preserve"> </v>
      </c>
      <c r="N16" s="43" t="str">
        <f>IF(Données!F22=0," ",IF(L16&lt;M16, "OK","C.N.V"))</f>
        <v xml:space="preserve"> </v>
      </c>
      <c r="O16" s="56"/>
      <c r="P16" s="224" t="str">
        <f>IF(Données!F22=0," ",G16*0.5)</f>
        <v xml:space="preserve"> </v>
      </c>
      <c r="Q16" s="224" t="str">
        <f>IF(Données!F22=0," ",IF($U$5="0,005hk",0.005*D16*100,0.0075*D16*100))</f>
        <v xml:space="preserve"> </v>
      </c>
      <c r="R16" s="43" t="str">
        <f>IF(Données!F22=0," ",IF(P16&lt;T16, "OK","C.N.V"))</f>
        <v xml:space="preserve"> </v>
      </c>
      <c r="S16" s="224" t="str">
        <f>IF(Données!F22=0," ",L16*0.5)</f>
        <v xml:space="preserve"> </v>
      </c>
      <c r="T16" s="224" t="str">
        <f>IF(Données!F22=0," ",IF($U$5="0,005hk",0.005*D16*100,0.0075*D16*100))</f>
        <v xml:space="preserve"> </v>
      </c>
      <c r="U16" s="43" t="str">
        <f>IF(Données!F22=0," ",IF(S16&lt;T16, "OK","C.N.V"))</f>
        <v xml:space="preserve"> </v>
      </c>
      <c r="W16" s="207"/>
      <c r="X16" s="31"/>
      <c r="Y16" s="31"/>
      <c r="Z16" s="31"/>
      <c r="AA16" s="31"/>
      <c r="AB16" s="31"/>
      <c r="AC16" s="31"/>
      <c r="AD16" s="31"/>
      <c r="AE16" s="31"/>
      <c r="AF16" s="31"/>
      <c r="AG16" s="208"/>
    </row>
    <row r="17" spans="3:33" ht="17.25" thickTop="1" thickBot="1">
      <c r="C17" s="183" t="str">
        <f>Données!D23</f>
        <v xml:space="preserve"> </v>
      </c>
      <c r="D17" s="43" t="str">
        <f>IF(Données!F23=0," ",Données!F23)</f>
        <v xml:space="preserve"> </v>
      </c>
      <c r="E17" s="43" t="str">
        <f>IF(D17=" "," ",'CALCUL RPA'!$J$8/'CALCUL RPA'!$G$8)</f>
        <v xml:space="preserve"> </v>
      </c>
      <c r="F17" s="224" t="str">
        <f>IF(D17=" "," ",Données!H23)</f>
        <v xml:space="preserve"> </v>
      </c>
      <c r="G17" s="224" t="str">
        <f>IF(Données!F23=0," ",Données!H23*E17)</f>
        <v xml:space="preserve"> </v>
      </c>
      <c r="H17" s="224" t="str">
        <f>IF(Données!F23=0," ",0.015*D17*100)</f>
        <v xml:space="preserve"> </v>
      </c>
      <c r="I17" s="43" t="str">
        <f>IF(Données!F23=0," ",IF(G17&lt;M17, "OK","C.N.V"))</f>
        <v xml:space="preserve"> </v>
      </c>
      <c r="J17" s="43" t="str">
        <f>IF(D17=" "," ",'CALCUL RPA'!$J$8/'CALCUL RPA'!$G$8)</f>
        <v xml:space="preserve"> </v>
      </c>
      <c r="K17" s="224" t="str">
        <f>IF(D17=" "," ",Données!I23)</f>
        <v xml:space="preserve"> </v>
      </c>
      <c r="L17" s="224" t="str">
        <f>IF(Données!F23=0," ",Données!I23*J17)</f>
        <v xml:space="preserve"> </v>
      </c>
      <c r="M17" s="224" t="str">
        <f>IF(Données!F23=0," ",0.015*D17*100)</f>
        <v xml:space="preserve"> </v>
      </c>
      <c r="N17" s="43" t="str">
        <f>IF(Données!F23=0," ",IF(L17&lt;M17, "OK","C.N.V"))</f>
        <v xml:space="preserve"> </v>
      </c>
      <c r="O17" s="56"/>
      <c r="P17" s="224" t="str">
        <f>IF(Données!F23=0," ",G17*0.5)</f>
        <v xml:space="preserve"> </v>
      </c>
      <c r="Q17" s="224" t="str">
        <f>IF(Données!F23=0," ",IF($U$5="0,005hk",0.005*D17*100,0.0075*D17*100))</f>
        <v xml:space="preserve"> </v>
      </c>
      <c r="R17" s="43" t="str">
        <f>IF(Données!F23=0," ",IF(P17&lt;T17, "OK","C.N.V"))</f>
        <v xml:space="preserve"> </v>
      </c>
      <c r="S17" s="224" t="str">
        <f>IF(Données!F23=0," ",L17*0.5)</f>
        <v xml:space="preserve"> </v>
      </c>
      <c r="T17" s="224" t="str">
        <f>IF(Données!F23=0," ",IF($U$5="0,005hk",0.005*D17*100,0.0075*D17*100))</f>
        <v xml:space="preserve"> </v>
      </c>
      <c r="U17" s="43" t="str">
        <f>IF(Données!F23=0," ",IF(S17&lt;T17, "OK","C.N.V"))</f>
        <v xml:space="preserve"> </v>
      </c>
      <c r="W17" s="207"/>
      <c r="X17" s="31"/>
      <c r="Y17" s="31"/>
      <c r="Z17" s="31"/>
      <c r="AA17" s="31"/>
      <c r="AB17" s="31"/>
      <c r="AC17" s="31"/>
      <c r="AD17" s="31"/>
      <c r="AE17" s="31"/>
      <c r="AF17" s="31"/>
      <c r="AG17" s="208"/>
    </row>
    <row r="18" spans="3:33" ht="17.25" thickTop="1" thickBot="1">
      <c r="C18" s="183" t="str">
        <f>Données!D24</f>
        <v xml:space="preserve"> </v>
      </c>
      <c r="D18" s="43" t="str">
        <f>IF(Données!F24=0," ",Données!F24)</f>
        <v xml:space="preserve"> </v>
      </c>
      <c r="E18" s="43" t="str">
        <f>IF(D18=" "," ",'CALCUL RPA'!$J$8/'CALCUL RPA'!$G$8)</f>
        <v xml:space="preserve"> </v>
      </c>
      <c r="F18" s="224" t="str">
        <f>IF(D18=" "," ",Données!H24)</f>
        <v xml:space="preserve"> </v>
      </c>
      <c r="G18" s="224" t="str">
        <f>IF(Données!F24=0," ",Données!H24*E18)</f>
        <v xml:space="preserve"> </v>
      </c>
      <c r="H18" s="224" t="str">
        <f>IF(Données!F24=0," ",0.015*D18*100)</f>
        <v xml:space="preserve"> </v>
      </c>
      <c r="I18" s="43" t="str">
        <f>IF(Données!F24=0," ",IF(G18&lt;M18, "OK","C.N.V"))</f>
        <v xml:space="preserve"> </v>
      </c>
      <c r="J18" s="43" t="str">
        <f>IF(D18=" "," ",'CALCUL RPA'!$J$8/'CALCUL RPA'!$G$8)</f>
        <v xml:space="preserve"> </v>
      </c>
      <c r="K18" s="224" t="str">
        <f>IF(D18=" "," ",Données!I24)</f>
        <v xml:space="preserve"> </v>
      </c>
      <c r="L18" s="224" t="str">
        <f>IF(Données!F24=0," ",Données!I24*J18)</f>
        <v xml:space="preserve"> </v>
      </c>
      <c r="M18" s="224" t="str">
        <f>IF(Données!F24=0," ",0.015*D18*100)</f>
        <v xml:space="preserve"> </v>
      </c>
      <c r="N18" s="43" t="str">
        <f>IF(Données!F24=0," ",IF(L18&lt;M18, "OK","C.N.V"))</f>
        <v xml:space="preserve"> </v>
      </c>
      <c r="O18" s="56"/>
      <c r="P18" s="224" t="str">
        <f>IF(Données!F24=0," ",G18*0.5)</f>
        <v xml:space="preserve"> </v>
      </c>
      <c r="Q18" s="224" t="str">
        <f>IF(Données!F24=0," ",IF($U$5="0,005hk",0.005*D18*100,0.0075*D18*100))</f>
        <v xml:space="preserve"> </v>
      </c>
      <c r="R18" s="43" t="str">
        <f>IF(Données!F24=0," ",IF(P18&lt;T18, "OK","C.N.V"))</f>
        <v xml:space="preserve"> </v>
      </c>
      <c r="S18" s="224" t="str">
        <f>IF(Données!F24=0," ",L18*0.5)</f>
        <v xml:space="preserve"> </v>
      </c>
      <c r="T18" s="224" t="str">
        <f>IF(Données!F24=0," ",IF($U$5="0,005hk",0.005*D18*100,0.0075*D18*100))</f>
        <v xml:space="preserve"> </v>
      </c>
      <c r="U18" s="43" t="str">
        <f>IF(Données!F24=0," ",IF(S18&lt;T18, "OK","C.N.V"))</f>
        <v xml:space="preserve"> </v>
      </c>
      <c r="W18" s="207"/>
      <c r="X18" s="31"/>
      <c r="Y18" s="31"/>
      <c r="Z18" s="31"/>
      <c r="AA18" s="31"/>
      <c r="AB18" s="31"/>
      <c r="AC18" s="31"/>
      <c r="AD18" s="31"/>
      <c r="AE18" s="31"/>
      <c r="AF18" s="31"/>
      <c r="AG18" s="208"/>
    </row>
    <row r="19" spans="3:33" ht="17.25" thickTop="1" thickBot="1">
      <c r="C19" s="183" t="str">
        <f>Données!D25</f>
        <v xml:space="preserve"> </v>
      </c>
      <c r="D19" s="43" t="str">
        <f>IF(Données!F25=0," ",Données!F25)</f>
        <v xml:space="preserve"> </v>
      </c>
      <c r="E19" s="43" t="str">
        <f>IF(D19=" "," ",'CALCUL RPA'!$J$8/'CALCUL RPA'!$G$8)</f>
        <v xml:space="preserve"> </v>
      </c>
      <c r="F19" s="224" t="str">
        <f>IF(D19=" "," ",Données!H25)</f>
        <v xml:space="preserve"> </v>
      </c>
      <c r="G19" s="224" t="str">
        <f>IF(Données!F25=0," ",Données!H25*E19)</f>
        <v xml:space="preserve"> </v>
      </c>
      <c r="H19" s="224" t="str">
        <f>IF(Données!F25=0," ",0.015*D19*100)</f>
        <v xml:space="preserve"> </v>
      </c>
      <c r="I19" s="43" t="str">
        <f>IF(Données!F25=0," ",IF(G19&lt;M19, "OK","C.N.V"))</f>
        <v xml:space="preserve"> </v>
      </c>
      <c r="J19" s="43" t="str">
        <f>IF(D19=" "," ",'CALCUL RPA'!$J$8/'CALCUL RPA'!$G$8)</f>
        <v xml:space="preserve"> </v>
      </c>
      <c r="K19" s="224" t="str">
        <f>IF(D19=" "," ",Données!I25)</f>
        <v xml:space="preserve"> </v>
      </c>
      <c r="L19" s="224" t="str">
        <f>IF(Données!F25=0," ",Données!I25*J19)</f>
        <v xml:space="preserve"> </v>
      </c>
      <c r="M19" s="224" t="str">
        <f>IF(Données!F25=0," ",0.015*D19*100)</f>
        <v xml:space="preserve"> </v>
      </c>
      <c r="N19" s="43" t="str">
        <f>IF(Données!F25=0," ",IF(L19&lt;M19, "OK","C.N.V"))</f>
        <v xml:space="preserve"> </v>
      </c>
      <c r="O19" s="56"/>
      <c r="P19" s="224" t="str">
        <f>IF(Données!F25=0," ",G19*0.5)</f>
        <v xml:space="preserve"> </v>
      </c>
      <c r="Q19" s="224" t="str">
        <f>IF(Données!F25=0," ",IF($U$5="0,005hk",0.005*D19*100,0.0075*D19*100))</f>
        <v xml:space="preserve"> </v>
      </c>
      <c r="R19" s="43" t="str">
        <f>IF(Données!F25=0," ",IF(P19&lt;T19, "OK","C.N.V"))</f>
        <v xml:space="preserve"> </v>
      </c>
      <c r="S19" s="224" t="str">
        <f>IF(Données!F25=0," ",L19*0.5)</f>
        <v xml:space="preserve"> </v>
      </c>
      <c r="T19" s="224" t="str">
        <f>IF(Données!F25=0," ",IF($U$5="0,005hk",0.005*D19*100,0.0075*D19*100))</f>
        <v xml:space="preserve"> </v>
      </c>
      <c r="U19" s="43" t="str">
        <f>IF(Données!F25=0," ",IF(S19&lt;T19, "OK","C.N.V"))</f>
        <v xml:space="preserve"> </v>
      </c>
      <c r="W19" s="207"/>
      <c r="X19" s="31"/>
      <c r="Y19" s="31"/>
      <c r="Z19" s="31"/>
      <c r="AA19" s="31"/>
      <c r="AB19" s="31"/>
      <c r="AC19" s="31"/>
      <c r="AD19" s="31"/>
      <c r="AE19" s="31"/>
      <c r="AF19" s="31"/>
      <c r="AG19" s="208"/>
    </row>
    <row r="20" spans="3:33" ht="17.25" thickTop="1" thickBot="1">
      <c r="C20" s="183" t="str">
        <f>Données!D26</f>
        <v xml:space="preserve"> </v>
      </c>
      <c r="D20" s="43" t="str">
        <f>IF(Données!F26=0," ",Données!F26)</f>
        <v xml:space="preserve"> </v>
      </c>
      <c r="E20" s="43" t="str">
        <f>IF(D20=" "," ",'CALCUL RPA'!$J$8/'CALCUL RPA'!$G$8)</f>
        <v xml:space="preserve"> </v>
      </c>
      <c r="F20" s="224" t="str">
        <f>IF(D20=" "," ",Données!H26)</f>
        <v xml:space="preserve"> </v>
      </c>
      <c r="G20" s="224" t="str">
        <f>IF(Données!F26=0," ",Données!H26*E20)</f>
        <v xml:space="preserve"> </v>
      </c>
      <c r="H20" s="224" t="str">
        <f>IF(Données!F26=0," ",0.015*D20*100)</f>
        <v xml:space="preserve"> </v>
      </c>
      <c r="I20" s="43" t="str">
        <f>IF(Données!F26=0," ",IF(G20&lt;M20, "OK","C.N.V"))</f>
        <v xml:space="preserve"> </v>
      </c>
      <c r="J20" s="43" t="str">
        <f>IF(D20=" "," ",'CALCUL RPA'!$J$8/'CALCUL RPA'!$G$8)</f>
        <v xml:space="preserve"> </v>
      </c>
      <c r="K20" s="224" t="str">
        <f>IF(D20=" "," ",Données!I26)</f>
        <v xml:space="preserve"> </v>
      </c>
      <c r="L20" s="224" t="str">
        <f>IF(Données!F26=0," ",Données!I26*J20)</f>
        <v xml:space="preserve"> </v>
      </c>
      <c r="M20" s="224" t="str">
        <f>IF(Données!F26=0," ",0.015*D20*100)</f>
        <v xml:space="preserve"> </v>
      </c>
      <c r="N20" s="43" t="str">
        <f>IF(Données!F26=0," ",IF(L20&lt;M20, "OK","C.N.V"))</f>
        <v xml:space="preserve"> </v>
      </c>
      <c r="O20" s="56"/>
      <c r="P20" s="224" t="str">
        <f>IF(Données!F26=0," ",G20*0.5)</f>
        <v xml:space="preserve"> </v>
      </c>
      <c r="Q20" s="224" t="str">
        <f>IF(Données!F26=0," ",IF($U$5="0,005hk",0.005*D20*100,0.0075*D20*100))</f>
        <v xml:space="preserve"> </v>
      </c>
      <c r="R20" s="43" t="str">
        <f>IF(Données!F26=0," ",IF(P20&lt;T20, "OK","C.N.V"))</f>
        <v xml:space="preserve"> </v>
      </c>
      <c r="S20" s="224" t="str">
        <f>IF(Données!F26=0," ",L20*0.5)</f>
        <v xml:space="preserve"> </v>
      </c>
      <c r="T20" s="224" t="str">
        <f>IF(Données!F26=0," ",IF($U$5="0,005hk",0.005*D20*100,0.0075*D20*100))</f>
        <v xml:space="preserve"> </v>
      </c>
      <c r="U20" s="43" t="str">
        <f>IF(Données!F26=0," ",IF(S20&lt;T20, "OK","C.N.V"))</f>
        <v xml:space="preserve"> </v>
      </c>
      <c r="W20" s="207"/>
      <c r="X20" s="31"/>
      <c r="Y20" s="31"/>
      <c r="Z20" s="31"/>
      <c r="AA20" s="31"/>
      <c r="AB20" s="31"/>
      <c r="AC20" s="31"/>
      <c r="AD20" s="31"/>
      <c r="AE20" s="31"/>
      <c r="AF20" s="31"/>
      <c r="AG20" s="208"/>
    </row>
    <row r="21" spans="3:33" ht="17.25" thickTop="1" thickBot="1">
      <c r="C21" s="183" t="str">
        <f>Données!D27</f>
        <v xml:space="preserve"> </v>
      </c>
      <c r="D21" s="43" t="str">
        <f>IF(Données!F27=0," ",Données!F27)</f>
        <v xml:space="preserve"> </v>
      </c>
      <c r="E21" s="43" t="str">
        <f>IF(D21=" "," ",'CALCUL RPA'!$J$8/'CALCUL RPA'!$G$8)</f>
        <v xml:space="preserve"> </v>
      </c>
      <c r="F21" s="224" t="str">
        <f>IF(D21=" "," ",Données!H27)</f>
        <v xml:space="preserve"> </v>
      </c>
      <c r="G21" s="224" t="str">
        <f>IF(Données!F27=0," ",Données!H27*E21)</f>
        <v xml:space="preserve"> </v>
      </c>
      <c r="H21" s="224" t="str">
        <f>IF(Données!F27=0," ",0.015*D21*100)</f>
        <v xml:space="preserve"> </v>
      </c>
      <c r="I21" s="43" t="str">
        <f>IF(Données!F27=0," ",IF(G21&lt;M21, "OK","C.N.V"))</f>
        <v xml:space="preserve"> </v>
      </c>
      <c r="J21" s="43" t="str">
        <f>IF(D21=" "," ",'CALCUL RPA'!$J$8/'CALCUL RPA'!$G$8)</f>
        <v xml:space="preserve"> </v>
      </c>
      <c r="K21" s="224" t="str">
        <f>IF(D21=" "," ",Données!I27)</f>
        <v xml:space="preserve"> </v>
      </c>
      <c r="L21" s="224" t="str">
        <f>IF(Données!F27=0," ",Données!I27*J21)</f>
        <v xml:space="preserve"> </v>
      </c>
      <c r="M21" s="224" t="str">
        <f>IF(Données!F27=0," ",0.015*D21*100)</f>
        <v xml:space="preserve"> </v>
      </c>
      <c r="N21" s="43" t="str">
        <f>IF(Données!F27=0," ",IF(L21&lt;M21, "OK","C.N.V"))</f>
        <v xml:space="preserve"> </v>
      </c>
      <c r="O21" s="56"/>
      <c r="P21" s="224" t="str">
        <f>IF(Données!F27=0," ",G21*0.5)</f>
        <v xml:space="preserve"> </v>
      </c>
      <c r="Q21" s="224" t="str">
        <f>IF(Données!F27=0," ",IF($U$5="0,005hk",0.005*D21*100,0.0075*D21*100))</f>
        <v xml:space="preserve"> </v>
      </c>
      <c r="R21" s="43" t="str">
        <f>IF(Données!F27=0," ",IF(P21&lt;T21, "OK","C.N.V"))</f>
        <v xml:space="preserve"> </v>
      </c>
      <c r="S21" s="224" t="str">
        <f>IF(Données!F27=0," ",L21*0.5)</f>
        <v xml:space="preserve"> </v>
      </c>
      <c r="T21" s="224" t="str">
        <f>IF(Données!F27=0," ",IF($U$5="0,005hk",0.005*D21*100,0.0075*D21*100))</f>
        <v xml:space="preserve"> </v>
      </c>
      <c r="U21" s="43" t="str">
        <f>IF(Données!F27=0," ",IF(S21&lt;T21, "OK","C.N.V"))</f>
        <v xml:space="preserve"> </v>
      </c>
      <c r="W21" s="207"/>
      <c r="X21" s="31"/>
      <c r="Y21" s="31"/>
      <c r="Z21" s="31"/>
      <c r="AA21" s="31"/>
      <c r="AB21" s="31"/>
      <c r="AC21" s="31"/>
      <c r="AD21" s="31"/>
      <c r="AE21" s="31"/>
      <c r="AF21" s="31"/>
      <c r="AG21" s="208"/>
    </row>
    <row r="22" spans="3:33" ht="17.25" thickTop="1" thickBot="1">
      <c r="C22" s="183" t="str">
        <f>Données!D28</f>
        <v xml:space="preserve"> </v>
      </c>
      <c r="D22" s="43" t="str">
        <f>IF(Données!F28=0," ",Données!F28)</f>
        <v xml:space="preserve"> </v>
      </c>
      <c r="E22" s="43" t="str">
        <f>IF(D22=" "," ",'CALCUL RPA'!$J$8/'CALCUL RPA'!$G$8)</f>
        <v xml:space="preserve"> </v>
      </c>
      <c r="F22" s="224" t="str">
        <f>IF(D22=" "," ",Données!H28)</f>
        <v xml:space="preserve"> </v>
      </c>
      <c r="G22" s="224" t="str">
        <f>IF(Données!F28=0," ",Données!H28*E22)</f>
        <v xml:space="preserve"> </v>
      </c>
      <c r="H22" s="224" t="str">
        <f>IF(Données!F28=0," ",0.015*D22*100)</f>
        <v xml:space="preserve"> </v>
      </c>
      <c r="I22" s="43" t="str">
        <f>IF(Données!F28=0," ",IF(G22&lt;M22, "OK","C.N.V"))</f>
        <v xml:space="preserve"> </v>
      </c>
      <c r="J22" s="43" t="str">
        <f>IF(D22=" "," ",'CALCUL RPA'!$J$8/'CALCUL RPA'!$G$8)</f>
        <v xml:space="preserve"> </v>
      </c>
      <c r="K22" s="224" t="str">
        <f>IF(D22=" "," ",Données!I28)</f>
        <v xml:space="preserve"> </v>
      </c>
      <c r="L22" s="224" t="str">
        <f>IF(Données!F28=0," ",Données!I28*J22)</f>
        <v xml:space="preserve"> </v>
      </c>
      <c r="M22" s="224" t="str">
        <f>IF(Données!F28=0," ",0.015*D22*100)</f>
        <v xml:space="preserve"> </v>
      </c>
      <c r="N22" s="43" t="str">
        <f>IF(Données!F28=0," ",IF(L22&lt;M22, "OK","C.N.V"))</f>
        <v xml:space="preserve"> </v>
      </c>
      <c r="O22" s="56"/>
      <c r="P22" s="224" t="str">
        <f>IF(Données!F28=0," ",G22*0.5)</f>
        <v xml:space="preserve"> </v>
      </c>
      <c r="Q22" s="224" t="str">
        <f>IF(Données!F28=0," ",IF($U$5="0,005hk",0.005*D22*100,0.0075*D22*100))</f>
        <v xml:space="preserve"> </v>
      </c>
      <c r="R22" s="43" t="str">
        <f>IF(Données!F28=0," ",IF(P22&lt;T22, "OK","C.N.V"))</f>
        <v xml:space="preserve"> </v>
      </c>
      <c r="S22" s="224" t="str">
        <f>IF(Données!F28=0," ",L22*0.5)</f>
        <v xml:space="preserve"> </v>
      </c>
      <c r="T22" s="224" t="str">
        <f>IF(Données!F28=0," ",IF($U$5="0,005hk",0.005*D22*100,0.0075*D22*100))</f>
        <v xml:space="preserve"> </v>
      </c>
      <c r="U22" s="43" t="str">
        <f>IF(Données!F28=0," ",IF(S22&lt;T22, "OK","C.N.V"))</f>
        <v xml:space="preserve"> </v>
      </c>
      <c r="W22" s="207"/>
      <c r="X22" s="31"/>
      <c r="Y22" s="31"/>
      <c r="Z22" s="31"/>
      <c r="AA22" s="31"/>
      <c r="AB22" s="31"/>
      <c r="AC22" s="31"/>
      <c r="AD22" s="31"/>
      <c r="AE22" s="31"/>
      <c r="AF22" s="31"/>
      <c r="AG22" s="208"/>
    </row>
    <row r="23" spans="3:33" ht="17.25" thickTop="1" thickBot="1">
      <c r="C23" s="183" t="str">
        <f>Données!D29</f>
        <v xml:space="preserve"> </v>
      </c>
      <c r="D23" s="43" t="str">
        <f>IF(Données!F29=0," ",Données!F29)</f>
        <v xml:space="preserve"> </v>
      </c>
      <c r="E23" s="43" t="str">
        <f>IF(D23=" "," ",'CALCUL RPA'!$J$8/'CALCUL RPA'!$G$8)</f>
        <v xml:space="preserve"> </v>
      </c>
      <c r="F23" s="224" t="str">
        <f>IF(D23=" "," ",Données!H29)</f>
        <v xml:space="preserve"> </v>
      </c>
      <c r="G23" s="224" t="str">
        <f>IF(Données!F29=0," ",Données!H29*E23)</f>
        <v xml:space="preserve"> </v>
      </c>
      <c r="H23" s="224" t="str">
        <f>IF(Données!F29=0," ",0.015*D23*100)</f>
        <v xml:space="preserve"> </v>
      </c>
      <c r="I23" s="43" t="str">
        <f>IF(Données!F29=0," ",IF(G23&lt;M23, "OK","C.N.V"))</f>
        <v xml:space="preserve"> </v>
      </c>
      <c r="J23" s="43" t="str">
        <f>IF(D23=" "," ",'CALCUL RPA'!$J$8/'CALCUL RPA'!$G$8)</f>
        <v xml:space="preserve"> </v>
      </c>
      <c r="K23" s="224" t="str">
        <f>IF(D23=" "," ",Données!I29)</f>
        <v xml:space="preserve"> </v>
      </c>
      <c r="L23" s="224" t="str">
        <f>IF(Données!F29=0," ",Données!I29*J23)</f>
        <v xml:space="preserve"> </v>
      </c>
      <c r="M23" s="224" t="str">
        <f>IF(Données!F29=0," ",0.015*D23*100)</f>
        <v xml:space="preserve"> </v>
      </c>
      <c r="N23" s="43" t="str">
        <f>IF(Données!F29=0," ",IF(L23&lt;M23, "OK","C.N.V"))</f>
        <v xml:space="preserve"> </v>
      </c>
      <c r="O23" s="56"/>
      <c r="P23" s="224" t="str">
        <f>IF(Données!F29=0," ",G23*0.5)</f>
        <v xml:space="preserve"> </v>
      </c>
      <c r="Q23" s="224" t="str">
        <f>IF(Données!F29=0," ",IF($U$5="0,005hk",0.005*D23*100,0.0075*D23*100))</f>
        <v xml:space="preserve"> </v>
      </c>
      <c r="R23" s="43" t="str">
        <f>IF(Données!F29=0," ",IF(P23&lt;T23, "OK","C.N.V"))</f>
        <v xml:space="preserve"> </v>
      </c>
      <c r="S23" s="224" t="str">
        <f>IF(Données!F29=0," ",L23*0.5)</f>
        <v xml:space="preserve"> </v>
      </c>
      <c r="T23" s="224" t="str">
        <f>IF(Données!F29=0," ",IF($U$5="0,005hk",0.005*D23*100,0.0075*D23*100))</f>
        <v xml:space="preserve"> </v>
      </c>
      <c r="U23" s="43" t="str">
        <f>IF(Données!F29=0," ",IF(S23&lt;T23, "OK","C.N.V"))</f>
        <v xml:space="preserve"> </v>
      </c>
      <c r="W23" s="207"/>
      <c r="X23" s="31"/>
      <c r="Y23" s="31"/>
      <c r="Z23" s="31"/>
      <c r="AA23" s="31"/>
      <c r="AB23" s="31"/>
      <c r="AC23" s="31"/>
      <c r="AD23" s="31"/>
      <c r="AE23" s="31"/>
      <c r="AF23" s="31"/>
      <c r="AG23" s="208"/>
    </row>
    <row r="24" spans="3:33" ht="17.25" thickTop="1" thickBot="1">
      <c r="C24" s="183" t="str">
        <f>Données!D30</f>
        <v xml:space="preserve"> </v>
      </c>
      <c r="D24" s="43" t="str">
        <f>IF(Données!F30=0," ",Données!F30)</f>
        <v xml:space="preserve"> </v>
      </c>
      <c r="E24" s="43" t="str">
        <f>IF(D24=" "," ",'CALCUL RPA'!$J$8/'CALCUL RPA'!$G$8)</f>
        <v xml:space="preserve"> </v>
      </c>
      <c r="F24" s="224" t="str">
        <f>IF(D24=" "," ",Données!H30)</f>
        <v xml:space="preserve"> </v>
      </c>
      <c r="G24" s="224" t="str">
        <f>IF(Données!F30=0," ",Données!H30*E24)</f>
        <v xml:space="preserve"> </v>
      </c>
      <c r="H24" s="224" t="str">
        <f>IF(Données!F30=0," ",0.015*D24*100)</f>
        <v xml:space="preserve"> </v>
      </c>
      <c r="I24" s="43" t="str">
        <f>IF(Données!F30=0," ",IF(G24&lt;M24, "OK","C.N.V"))</f>
        <v xml:space="preserve"> </v>
      </c>
      <c r="J24" s="43" t="str">
        <f>IF(D24=" "," ",'CALCUL RPA'!$J$8/'CALCUL RPA'!$G$8)</f>
        <v xml:space="preserve"> </v>
      </c>
      <c r="K24" s="224" t="str">
        <f>IF(D24=" "," ",Données!I30)</f>
        <v xml:space="preserve"> </v>
      </c>
      <c r="L24" s="224" t="str">
        <f>IF(Données!F30=0," ",Données!I30*J24)</f>
        <v xml:space="preserve"> </v>
      </c>
      <c r="M24" s="224" t="str">
        <f>IF(Données!F30=0," ",0.015*D24*100)</f>
        <v xml:space="preserve"> </v>
      </c>
      <c r="N24" s="43" t="str">
        <f>IF(Données!F30=0," ",IF(L24&lt;M24, "OK","C.N.V"))</f>
        <v xml:space="preserve"> </v>
      </c>
      <c r="O24" s="56"/>
      <c r="P24" s="224" t="str">
        <f>IF(Données!F30=0," ",G24*0.5)</f>
        <v xml:space="preserve"> </v>
      </c>
      <c r="Q24" s="224" t="str">
        <f>IF(Données!F30=0," ",IF($U$5="0,005hk",0.005*D24*100,0.0075*D24*100))</f>
        <v xml:space="preserve"> </v>
      </c>
      <c r="R24" s="43" t="str">
        <f>IF(Données!F30=0," ",IF(P24&lt;T24, "OK","C.N.V"))</f>
        <v xml:space="preserve"> </v>
      </c>
      <c r="S24" s="224" t="str">
        <f>IF(Données!F30=0," ",L24*0.5)</f>
        <v xml:space="preserve"> </v>
      </c>
      <c r="T24" s="224" t="str">
        <f>IF(Données!F30=0," ",IF($U$5="0,005hk",0.005*D24*100,0.0075*D24*100))</f>
        <v xml:space="preserve"> </v>
      </c>
      <c r="U24" s="43" t="str">
        <f>IF(Données!F30=0," ",IF(S24&lt;T24, "OK","C.N.V"))</f>
        <v xml:space="preserve"> </v>
      </c>
      <c r="W24" s="207"/>
      <c r="X24" s="31"/>
      <c r="Y24" s="31"/>
      <c r="Z24" s="31"/>
      <c r="AA24" s="31"/>
      <c r="AB24" s="31"/>
      <c r="AC24" s="31"/>
      <c r="AD24" s="31"/>
      <c r="AE24" s="31"/>
      <c r="AF24" s="31"/>
      <c r="AG24" s="208"/>
    </row>
    <row r="25" spans="3:33" ht="17.25" thickTop="1" thickBot="1">
      <c r="C25" s="183" t="str">
        <f>Données!D31</f>
        <v xml:space="preserve"> </v>
      </c>
      <c r="D25" s="43" t="str">
        <f>IF(Données!F31=0," ",Données!F31)</f>
        <v xml:space="preserve"> </v>
      </c>
      <c r="E25" s="43" t="str">
        <f>IF(D25=" "," ",'CALCUL RPA'!$J$8/'CALCUL RPA'!$G$8)</f>
        <v xml:space="preserve"> </v>
      </c>
      <c r="F25" s="224" t="str">
        <f>IF(D25=" "," ",Données!H31)</f>
        <v xml:space="preserve"> </v>
      </c>
      <c r="G25" s="224" t="str">
        <f>IF(Données!F31=0," ",Données!H31*E25)</f>
        <v xml:space="preserve"> </v>
      </c>
      <c r="H25" s="224" t="str">
        <f>IF(Données!F31=0," ",0.015*D25*100)</f>
        <v xml:space="preserve"> </v>
      </c>
      <c r="I25" s="43" t="str">
        <f>IF(Données!F31=0," ",IF(G25&lt;M25, "OK","C.N.V"))</f>
        <v xml:space="preserve"> </v>
      </c>
      <c r="J25" s="43" t="str">
        <f>IF(D25=" "," ",'CALCUL RPA'!$J$8/'CALCUL RPA'!$G$8)</f>
        <v xml:space="preserve"> </v>
      </c>
      <c r="K25" s="224" t="str">
        <f>IF(D25=" "," ",Données!I31)</f>
        <v xml:space="preserve"> </v>
      </c>
      <c r="L25" s="224" t="str">
        <f>IF(Données!F31=0," ",Données!I31*J25)</f>
        <v xml:space="preserve"> </v>
      </c>
      <c r="M25" s="224" t="str">
        <f>IF(Données!F31=0," ",0.015*D25*100)</f>
        <v xml:space="preserve"> </v>
      </c>
      <c r="N25" s="43" t="str">
        <f>IF(Données!F31=0," ",IF(L25&lt;M25, "OK","C.N.V"))</f>
        <v xml:space="preserve"> </v>
      </c>
      <c r="O25" s="56"/>
      <c r="P25" s="224" t="str">
        <f>IF(Données!F31=0," ",G25*0.5)</f>
        <v xml:space="preserve"> </v>
      </c>
      <c r="Q25" s="224" t="str">
        <f>IF(Données!F31=0," ",IF($U$5="0,005hk",0.005*D25*100,0.0075*D25*100))</f>
        <v xml:space="preserve"> </v>
      </c>
      <c r="R25" s="43" t="str">
        <f>IF(Données!F31=0," ",IF(P25&lt;T25, "OK","C.N.V"))</f>
        <v xml:space="preserve"> </v>
      </c>
      <c r="S25" s="224" t="str">
        <f>IF(Données!F31=0," ",L25*0.5)</f>
        <v xml:space="preserve"> </v>
      </c>
      <c r="T25" s="224" t="str">
        <f>IF(Données!F31=0," ",IF($U$5="0,005hk",0.005*D25*100,0.0075*D25*100))</f>
        <v xml:space="preserve"> </v>
      </c>
      <c r="U25" s="43" t="str">
        <f>IF(Données!F31=0," ",IF(S25&lt;T25, "OK","C.N.V"))</f>
        <v xml:space="preserve"> </v>
      </c>
      <c r="W25" s="207"/>
      <c r="X25" s="31"/>
      <c r="Y25" s="31"/>
      <c r="Z25" s="31"/>
      <c r="AA25" s="31"/>
      <c r="AB25" s="31"/>
      <c r="AC25" s="31"/>
      <c r="AD25" s="31"/>
      <c r="AE25" s="31"/>
      <c r="AF25" s="31"/>
      <c r="AG25" s="208"/>
    </row>
    <row r="26" spans="3:33" ht="17.25" thickTop="1" thickBot="1">
      <c r="C26" s="183" t="str">
        <f>Données!D32</f>
        <v xml:space="preserve"> </v>
      </c>
      <c r="D26" s="43" t="str">
        <f>IF(Données!F32=0," ",Données!F32)</f>
        <v xml:space="preserve"> </v>
      </c>
      <c r="E26" s="43" t="str">
        <f>IF(D26=" "," ",'CALCUL RPA'!$J$8/'CALCUL RPA'!$G$8)</f>
        <v xml:space="preserve"> </v>
      </c>
      <c r="F26" s="224" t="str">
        <f>IF(D26=" "," ",Données!H32)</f>
        <v xml:space="preserve"> </v>
      </c>
      <c r="G26" s="224" t="str">
        <f>IF(Données!F32=0," ",Données!H32*E26)</f>
        <v xml:space="preserve"> </v>
      </c>
      <c r="H26" s="224" t="str">
        <f>IF(Données!F32=0," ",0.015*D26*100)</f>
        <v xml:space="preserve"> </v>
      </c>
      <c r="I26" s="43" t="str">
        <f>IF(Données!F32=0," ",IF(G26&lt;M26, "OK","C.N.V"))</f>
        <v xml:space="preserve"> </v>
      </c>
      <c r="J26" s="43" t="str">
        <f>IF(D26=" "," ",'CALCUL RPA'!$J$8/'CALCUL RPA'!$G$8)</f>
        <v xml:space="preserve"> </v>
      </c>
      <c r="K26" s="224" t="str">
        <f>IF(D26=" "," ",Données!I32)</f>
        <v xml:space="preserve"> </v>
      </c>
      <c r="L26" s="224" t="str">
        <f>IF(Données!F32=0," ",Données!I32*J26)</f>
        <v xml:space="preserve"> </v>
      </c>
      <c r="M26" s="224" t="str">
        <f>IF(Données!F32=0," ",0.015*D26*100)</f>
        <v xml:space="preserve"> </v>
      </c>
      <c r="N26" s="43" t="str">
        <f>IF(Données!F32=0," ",IF(L26&lt;M26, "OK","C.N.V"))</f>
        <v xml:space="preserve"> </v>
      </c>
      <c r="O26" s="56"/>
      <c r="P26" s="224" t="str">
        <f>IF(Données!F32=0," ",G26*0.5)</f>
        <v xml:space="preserve"> </v>
      </c>
      <c r="Q26" s="224" t="str">
        <f>IF(Données!F32=0," ",IF($U$5="0,005hk",0.005*D26*100,0.0075*D26*100))</f>
        <v xml:space="preserve"> </v>
      </c>
      <c r="R26" s="43" t="str">
        <f>IF(Données!F32=0," ",IF(P26&lt;T26, "OK","C.N.V"))</f>
        <v xml:space="preserve"> </v>
      </c>
      <c r="S26" s="224" t="str">
        <f>IF(Données!F32=0," ",L26*0.5)</f>
        <v xml:space="preserve"> </v>
      </c>
      <c r="T26" s="224" t="str">
        <f>IF(Données!F32=0," ",IF($U$5="0,005hk",0.005*D26*100,0.0075*D26*100))</f>
        <v xml:space="preserve"> </v>
      </c>
      <c r="U26" s="43" t="str">
        <f>IF(Données!F32=0," ",IF(S26&lt;T26, "OK","C.N.V"))</f>
        <v xml:space="preserve"> </v>
      </c>
      <c r="W26" s="207"/>
      <c r="X26" s="31"/>
      <c r="Y26" s="31"/>
      <c r="Z26" s="31"/>
      <c r="AA26" s="31"/>
      <c r="AB26" s="31"/>
      <c r="AC26" s="31"/>
      <c r="AD26" s="31"/>
      <c r="AE26" s="31"/>
      <c r="AF26" s="31"/>
      <c r="AG26" s="208"/>
    </row>
    <row r="27" spans="3:33" ht="17.25" thickTop="1" thickBot="1">
      <c r="C27" s="183" t="str">
        <f>Données!D33</f>
        <v xml:space="preserve"> </v>
      </c>
      <c r="D27" s="43" t="str">
        <f>IF(Données!F33=0," ",Données!F33)</f>
        <v xml:space="preserve"> </v>
      </c>
      <c r="E27" s="43" t="str">
        <f>IF(D27=" "," ",'CALCUL RPA'!$J$8/'CALCUL RPA'!$G$8)</f>
        <v xml:space="preserve"> </v>
      </c>
      <c r="F27" s="224" t="str">
        <f>IF(D27=" "," ",Données!H33)</f>
        <v xml:space="preserve"> </v>
      </c>
      <c r="G27" s="224" t="str">
        <f>IF(Données!F33=0," ",Données!H33*E27)</f>
        <v xml:space="preserve"> </v>
      </c>
      <c r="H27" s="224" t="str">
        <f>IF(Données!F33=0," ",0.015*D27*100)</f>
        <v xml:space="preserve"> </v>
      </c>
      <c r="I27" s="43" t="str">
        <f>IF(Données!F33=0," ",IF(G27&lt;M27, "OK","C.N.V"))</f>
        <v xml:space="preserve"> </v>
      </c>
      <c r="J27" s="43" t="str">
        <f>IF(D27=" "," ",'CALCUL RPA'!$J$8/'CALCUL RPA'!$G$8)</f>
        <v xml:space="preserve"> </v>
      </c>
      <c r="K27" s="224" t="str">
        <f>IF(D27=" "," ",Données!I33)</f>
        <v xml:space="preserve"> </v>
      </c>
      <c r="L27" s="224" t="str">
        <f>IF(Données!F33=0," ",Données!I33*J27)</f>
        <v xml:space="preserve"> </v>
      </c>
      <c r="M27" s="224" t="str">
        <f>IF(Données!F33=0," ",0.015*D27*100)</f>
        <v xml:space="preserve"> </v>
      </c>
      <c r="N27" s="43" t="str">
        <f>IF(Données!F33=0," ",IF(L27&lt;M27, "OK","C.N.V"))</f>
        <v xml:space="preserve"> </v>
      </c>
      <c r="O27" s="56"/>
      <c r="P27" s="224" t="str">
        <f>IF(Données!F33=0," ",G27*0.5)</f>
        <v xml:space="preserve"> </v>
      </c>
      <c r="Q27" s="224" t="str">
        <f>IF(Données!F33=0," ",IF($U$5="0,005hk",0.005*D27*100,0.0075*D27*100))</f>
        <v xml:space="preserve"> </v>
      </c>
      <c r="R27" s="43" t="str">
        <f>IF(Données!F33=0," ",IF(P27&lt;T27, "OK","C.N.V"))</f>
        <v xml:space="preserve"> </v>
      </c>
      <c r="S27" s="224" t="str">
        <f>IF(Données!F33=0," ",L27*0.5)</f>
        <v xml:space="preserve"> </v>
      </c>
      <c r="T27" s="224" t="str">
        <f>IF(Données!F33=0," ",IF($U$5="0,005hk",0.005*D27*100,0.0075*D27*100))</f>
        <v xml:space="preserve"> </v>
      </c>
      <c r="U27" s="43" t="str">
        <f>IF(Données!F33=0," ",IF(S27&lt;T27, "OK","C.N.V"))</f>
        <v xml:space="preserve"> </v>
      </c>
      <c r="W27" s="207"/>
      <c r="X27" s="31"/>
      <c r="Y27" s="31"/>
      <c r="Z27" s="31"/>
      <c r="AA27" s="31"/>
      <c r="AB27" s="31"/>
      <c r="AC27" s="31"/>
      <c r="AD27" s="31"/>
      <c r="AE27" s="31"/>
      <c r="AF27" s="31"/>
      <c r="AG27" s="208"/>
    </row>
    <row r="28" spans="3:33" ht="16.5" thickTop="1">
      <c r="D28" s="42"/>
      <c r="E28" s="42"/>
      <c r="F28" s="42"/>
      <c r="J28" s="42"/>
      <c r="K28" s="42"/>
      <c r="M28" s="42"/>
      <c r="Q28" s="42"/>
      <c r="S28" s="42"/>
      <c r="T28" s="42"/>
      <c r="W28" s="207"/>
      <c r="X28" s="31"/>
      <c r="Y28" s="31"/>
      <c r="Z28" s="31"/>
      <c r="AA28" s="31"/>
      <c r="AB28" s="31"/>
      <c r="AC28" s="31"/>
      <c r="AD28" s="31"/>
      <c r="AE28" s="31"/>
      <c r="AF28" s="31"/>
      <c r="AG28" s="208"/>
    </row>
    <row r="29" spans="3:33">
      <c r="D29" s="31"/>
      <c r="E29" s="31"/>
      <c r="F29" s="31"/>
      <c r="J29" s="31"/>
      <c r="K29" s="31"/>
      <c r="M29" s="31"/>
      <c r="Q29" s="31"/>
      <c r="S29" s="31"/>
      <c r="T29" s="31"/>
      <c r="W29" s="207"/>
      <c r="X29" s="31"/>
      <c r="Y29" s="31"/>
      <c r="Z29" s="31"/>
      <c r="AA29" s="31"/>
      <c r="AB29" s="31"/>
      <c r="AC29" s="31"/>
      <c r="AD29" s="31"/>
      <c r="AE29" s="31"/>
      <c r="AF29" s="31"/>
      <c r="AG29" s="208"/>
    </row>
    <row r="30" spans="3:33" ht="16.5" thickBot="1">
      <c r="W30" s="209"/>
      <c r="X30" s="210"/>
      <c r="Y30" s="210"/>
      <c r="Z30" s="210"/>
      <c r="AA30" s="210"/>
      <c r="AB30" s="210"/>
      <c r="AC30" s="210"/>
      <c r="AD30" s="210"/>
      <c r="AE30" s="210"/>
      <c r="AF30" s="210"/>
      <c r="AG30" s="211"/>
    </row>
  </sheetData>
  <mergeCells count="7">
    <mergeCell ref="P5:S5"/>
    <mergeCell ref="C2:U2"/>
    <mergeCell ref="E5:N5"/>
    <mergeCell ref="P6:R6"/>
    <mergeCell ref="S6:U6"/>
    <mergeCell ref="E6:I6"/>
    <mergeCell ref="J6:N6"/>
  </mergeCells>
  <conditionalFormatting sqref="U13">
    <cfRule type="cellIs" dxfId="27" priority="13" stopIfTrue="1" operator="equal">
      <formula>"C.N.V"</formula>
    </cfRule>
    <cfRule type="cellIs" dxfId="26" priority="14" stopIfTrue="1" operator="equal">
      <formula>$U$13</formula>
    </cfRule>
  </conditionalFormatting>
  <conditionalFormatting sqref="N8:O27 I8:I27">
    <cfRule type="cellIs" dxfId="25" priority="3" operator="equal">
      <formula>"C.N.V"</formula>
    </cfRule>
    <cfRule type="cellIs" dxfId="24" priority="4" operator="equal">
      <formula>"OK"</formula>
    </cfRule>
  </conditionalFormatting>
  <conditionalFormatting sqref="U8:U27 R8:R27">
    <cfRule type="cellIs" dxfId="23" priority="17" stopIfTrue="1" operator="equal">
      <formula>"C.N.V"</formula>
    </cfRule>
    <cfRule type="cellIs" dxfId="22" priority="18" stopIfTrue="1" operator="equal">
      <formula>$R$8</formula>
    </cfRule>
  </conditionalFormatting>
  <dataValidations count="1">
    <dataValidation type="list" allowBlank="1" showInputMessage="1" showErrorMessage="1" sqref="U5">
      <mc:AlternateContent xmlns:x12ac="http://schemas.microsoft.com/office/spreadsheetml/2011/1/ac" xmlns:mc="http://schemas.openxmlformats.org/markup-compatibility/2006">
        <mc:Choice Requires="x12ac">
          <x12ac:list>" 0,005hk"," 0,0075hk"</x12ac:list>
        </mc:Choice>
        <mc:Fallback>
          <formula1>" 0,005hk, 0,0075hk"</formula1>
        </mc:Fallback>
      </mc:AlternateContent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>
    <tabColor rgb="FF002060"/>
  </sheetPr>
  <dimension ref="C1:Q28"/>
  <sheetViews>
    <sheetView showGridLines="0" tabSelected="1" zoomScaleNormal="100" workbookViewId="0">
      <selection activeCell="I7" sqref="I7"/>
    </sheetView>
  </sheetViews>
  <sheetFormatPr defaultColWidth="9.140625" defaultRowHeight="15.75"/>
  <cols>
    <col min="1" max="3" width="9.140625" style="1"/>
    <col min="4" max="4" width="9.7109375" style="1" customWidth="1"/>
    <col min="5" max="5" width="8.140625" style="1" customWidth="1"/>
    <col min="6" max="6" width="6.5703125" style="1" bestFit="1" customWidth="1"/>
    <col min="7" max="9" width="9.7109375" style="1" customWidth="1"/>
    <col min="10" max="10" width="11.5703125" style="1" bestFit="1" customWidth="1"/>
    <col min="11" max="11" width="10.42578125" style="1" customWidth="1"/>
    <col min="12" max="12" width="6.85546875" style="1" bestFit="1" customWidth="1"/>
    <col min="13" max="15" width="9.7109375" style="1" customWidth="1"/>
    <col min="16" max="17" width="11.42578125" style="1" bestFit="1" customWidth="1"/>
    <col min="18" max="16384" width="9.140625" style="1"/>
  </cols>
  <sheetData>
    <row r="1" spans="3:17" ht="23.25" customHeight="1" thickBot="1"/>
    <row r="2" spans="3:17" ht="21" thickTop="1">
      <c r="C2" s="272" t="s">
        <v>147</v>
      </c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73"/>
      <c r="P2" s="273"/>
      <c r="Q2" s="274"/>
    </row>
    <row r="3" spans="3:17" ht="16.5" thickBot="1">
      <c r="C3" s="46" t="s">
        <v>146</v>
      </c>
      <c r="D3" s="47"/>
      <c r="E3" s="48" t="str">
        <f>'CALCUL RPA'!$D$3</f>
        <v>Vers 1.5.1</v>
      </c>
      <c r="F3" s="49"/>
      <c r="G3" s="49"/>
      <c r="H3" s="49"/>
      <c r="I3" s="50"/>
      <c r="J3" s="50"/>
      <c r="K3" s="50"/>
      <c r="L3" s="48"/>
      <c r="M3" s="49"/>
      <c r="N3" s="47"/>
      <c r="O3" s="47"/>
      <c r="P3" s="47"/>
      <c r="Q3" s="51"/>
    </row>
    <row r="4" spans="3:17" ht="17.25" thickTop="1" thickBot="1"/>
    <row r="5" spans="3:17" ht="17.25" thickTop="1" thickBot="1">
      <c r="C5" s="41"/>
      <c r="D5" s="41"/>
      <c r="E5" s="41"/>
      <c r="F5" s="393" t="s">
        <v>144</v>
      </c>
      <c r="G5" s="394"/>
      <c r="H5" s="394"/>
      <c r="I5" s="394"/>
      <c r="J5" s="394"/>
      <c r="K5" s="395"/>
      <c r="L5" s="393" t="s">
        <v>145</v>
      </c>
      <c r="M5" s="394"/>
      <c r="N5" s="394"/>
      <c r="O5" s="394"/>
      <c r="P5" s="394"/>
      <c r="Q5" s="395"/>
    </row>
    <row r="6" spans="3:17" ht="21" customHeight="1" thickTop="1" thickBot="1">
      <c r="C6" s="138" t="s">
        <v>81</v>
      </c>
      <c r="D6" s="138" t="s">
        <v>91</v>
      </c>
      <c r="E6" s="138" t="s">
        <v>98</v>
      </c>
      <c r="F6" s="138" t="s">
        <v>216</v>
      </c>
      <c r="G6" s="138" t="s">
        <v>102</v>
      </c>
      <c r="H6" s="138" t="s">
        <v>99</v>
      </c>
      <c r="I6" s="138" t="s">
        <v>108</v>
      </c>
      <c r="J6" s="138" t="s">
        <v>106</v>
      </c>
      <c r="K6" s="138" t="s">
        <v>184</v>
      </c>
      <c r="L6" s="138" t="s">
        <v>216</v>
      </c>
      <c r="M6" s="138" t="s">
        <v>103</v>
      </c>
      <c r="N6" s="138" t="s">
        <v>100</v>
      </c>
      <c r="O6" s="138" t="s">
        <v>109</v>
      </c>
      <c r="P6" s="138" t="s">
        <v>107</v>
      </c>
      <c r="Q6" s="138" t="s">
        <v>185</v>
      </c>
    </row>
    <row r="7" spans="3:17" ht="17.25" thickTop="1" thickBot="1">
      <c r="C7" s="183">
        <f>Données!D14</f>
        <v>1</v>
      </c>
      <c r="D7" s="43">
        <f>IF(Données!G14=0," ",Données!G14)</f>
        <v>24870.639999999999</v>
      </c>
      <c r="E7" s="43">
        <f>IF(D7=" "," ",Données!F14)</f>
        <v>3.06</v>
      </c>
      <c r="F7" s="43">
        <f>IF(D7=" "," ",'CALCUL RPA'!$J$8/'CALCUL RPA'!$G$8)</f>
        <v>3.75</v>
      </c>
      <c r="G7" s="224">
        <f>IF(D7=" "," ",Données!H14*F7)</f>
        <v>0.105</v>
      </c>
      <c r="H7" s="43">
        <f>IF(D7=" "," ",Données!J14+Données!L14)</f>
        <v>442.02</v>
      </c>
      <c r="I7" s="45">
        <f t="shared" ref="I7:I26" si="0">IF(E7=" "," ",(ABS(D7)*G7/100)/(H7*E7))</f>
        <v>1.9306916287170042E-2</v>
      </c>
      <c r="J7" s="43" t="str">
        <f>IF(D7=" "," ",IF(I7&lt;=0.1, "OK","C.N.V"))</f>
        <v>OK</v>
      </c>
      <c r="K7" s="189">
        <f>IF(E7=" "," ",IF(I7&lt;=0.1, 0,IF(AND(I7&gt;0.1,I7&lt;=0.2),1/(1-I7),"θx &gt; 0,2")))</f>
        <v>0</v>
      </c>
      <c r="L7" s="43">
        <f>IF(D7=" "," ",'CALCUL RPA'!$J$8/'CALCUL RPA'!$G$8)</f>
        <v>3.75</v>
      </c>
      <c r="M7" s="224">
        <f>IF(D7=" "," ",Données!I14*L7)</f>
        <v>9.375E-2</v>
      </c>
      <c r="N7" s="43">
        <f>IF(D7=" "," ",Données!K14+Données!M14)</f>
        <v>460.05</v>
      </c>
      <c r="O7" s="45">
        <f t="shared" ref="O7:O26" si="1">IF(E7=" "," ",(ABS(D7)*M7/100)/(N7*E7))</f>
        <v>1.6562724426799302E-2</v>
      </c>
      <c r="P7" s="43" t="str">
        <f t="shared" ref="P7:P26" si="2">IF(G7=" "," ",IF(O7&lt;=0.1, "OK","C.N.V"))</f>
        <v>OK</v>
      </c>
      <c r="Q7" s="189">
        <f>IF(D7=" "," ",IF(O7&lt;=0.1, 0,IF(AND(O7&gt;0.1,O7&lt;=0.2),1/(1-O7),"θy &gt; 0,2")))</f>
        <v>0</v>
      </c>
    </row>
    <row r="8" spans="3:17" ht="17.25" thickTop="1" thickBot="1">
      <c r="C8" s="183">
        <f>Données!D15</f>
        <v>2</v>
      </c>
      <c r="D8" s="43">
        <f>IF(Données!G15=0," ",Données!G15)</f>
        <v>19625.5</v>
      </c>
      <c r="E8" s="43">
        <f>IF(D8=" "," ",Données!F15)</f>
        <v>3.06</v>
      </c>
      <c r="F8" s="43">
        <f>IF(D8=" "," ",'CALCUL RPA'!$J$8/'CALCUL RPA'!$G$8)</f>
        <v>3.75</v>
      </c>
      <c r="G8" s="224">
        <f>IF(D8=" "," ",Données!H15*F8)</f>
        <v>0.17624999999999999</v>
      </c>
      <c r="H8" s="43">
        <f>IF(D8=" "," ",Données!J15+Données!L15)</f>
        <v>402.15999999999997</v>
      </c>
      <c r="I8" s="45">
        <f t="shared" si="0"/>
        <v>2.8107974901219687E-2</v>
      </c>
      <c r="J8" s="43" t="str">
        <f t="shared" ref="J8:J26" si="3">IF(D8=" "," ",IF(I8&lt;=0.1, "OK","C.N.V"))</f>
        <v>OK</v>
      </c>
      <c r="K8" s="189">
        <f t="shared" ref="K8:K26" si="4">IF(E8=" "," ",IF(I8&lt;=0.1, 0,IF(AND(I8&gt;0.1,I8&lt;=0.2),1/(1-I8),"θx &gt; 0,2")))</f>
        <v>0</v>
      </c>
      <c r="L8" s="43">
        <f>IF(D8=" "," ",'CALCUL RPA'!$J$8/'CALCUL RPA'!$G$8)</f>
        <v>3.75</v>
      </c>
      <c r="M8" s="224">
        <f>IF(D8=" "," ",Données!I15*L8)</f>
        <v>0.16124999999999998</v>
      </c>
      <c r="N8" s="43">
        <f>IF(D8=" "," ",Données!K15+Données!M15)</f>
        <v>418.77</v>
      </c>
      <c r="O8" s="45">
        <f t="shared" si="1"/>
        <v>2.4695820790765859E-2</v>
      </c>
      <c r="P8" s="43" t="str">
        <f t="shared" si="2"/>
        <v>OK</v>
      </c>
      <c r="Q8" s="189">
        <f t="shared" ref="Q8:Q26" si="5">IF(D8=" "," ",IF(O8&lt;=0.1, 0,IF(AND(O8&gt;0.1,O8&lt;=0.2),1/(1-O8),"θy &gt; 0,2")))</f>
        <v>0</v>
      </c>
    </row>
    <row r="9" spans="3:17" ht="17.25" thickTop="1" thickBot="1">
      <c r="C9" s="183">
        <f>Données!D16</f>
        <v>3</v>
      </c>
      <c r="D9" s="43">
        <f>IF(Données!G16=0," ",Données!G16)</f>
        <v>14590.45</v>
      </c>
      <c r="E9" s="43">
        <f>IF(D9=" "," ",Données!F16)</f>
        <v>3.06</v>
      </c>
      <c r="F9" s="43">
        <f>IF(D9=" "," ",'CALCUL RPA'!$J$8/'CALCUL RPA'!$G$8)</f>
        <v>3.75</v>
      </c>
      <c r="G9" s="224">
        <f>IF(D9=" "," ",Données!H16*F9)</f>
        <v>0.18</v>
      </c>
      <c r="H9" s="43">
        <f>IF(D9=" "," ",Données!J16+Données!L16)</f>
        <v>340.11</v>
      </c>
      <c r="I9" s="45">
        <f t="shared" si="0"/>
        <v>2.5234828870244402E-2</v>
      </c>
      <c r="J9" s="43" t="str">
        <f t="shared" si="3"/>
        <v>OK</v>
      </c>
      <c r="K9" s="189">
        <f t="shared" si="4"/>
        <v>0</v>
      </c>
      <c r="L9" s="43">
        <f>IF(D9=" "," ",'CALCUL RPA'!$J$8/'CALCUL RPA'!$G$8)</f>
        <v>3.75</v>
      </c>
      <c r="M9" s="224">
        <f>IF(D9=" "," ",Données!I16*L9)</f>
        <v>0.16499999999999998</v>
      </c>
      <c r="N9" s="43">
        <f>IF(D9=" "," ",Données!K16+Données!M16)</f>
        <v>354.58</v>
      </c>
      <c r="O9" s="45">
        <f t="shared" si="1"/>
        <v>2.218793927972227E-2</v>
      </c>
      <c r="P9" s="43" t="str">
        <f t="shared" si="2"/>
        <v>OK</v>
      </c>
      <c r="Q9" s="189">
        <f t="shared" si="5"/>
        <v>0</v>
      </c>
    </row>
    <row r="10" spans="3:17" ht="17.25" thickTop="1" thickBot="1">
      <c r="C10" s="183">
        <f>Données!D17</f>
        <v>4</v>
      </c>
      <c r="D10" s="43">
        <f>IF(Données!G17=0," ",Données!G17)</f>
        <v>9555.4</v>
      </c>
      <c r="E10" s="43">
        <f>IF(D10=" "," ",Données!F17)</f>
        <v>3.06</v>
      </c>
      <c r="F10" s="43">
        <f>IF(D10=" "," ",'CALCUL RPA'!$J$8/'CALCUL RPA'!$G$8)</f>
        <v>3.75</v>
      </c>
      <c r="G10" s="224">
        <f>IF(D10=" "," ",Données!H17*F10)</f>
        <v>0.15375</v>
      </c>
      <c r="H10" s="43">
        <f>IF(D10=" "," ",Données!J17+Données!L17)</f>
        <v>265.89999999999998</v>
      </c>
      <c r="I10" s="45">
        <f t="shared" si="0"/>
        <v>1.8056111688752222E-2</v>
      </c>
      <c r="J10" s="43" t="str">
        <f t="shared" si="3"/>
        <v>OK</v>
      </c>
      <c r="K10" s="189">
        <f t="shared" si="4"/>
        <v>0</v>
      </c>
      <c r="L10" s="43">
        <f>IF(D10=" "," ",'CALCUL RPA'!$J$8/'CALCUL RPA'!$G$8)</f>
        <v>3.75</v>
      </c>
      <c r="M10" s="224">
        <f>IF(D10=" "," ",Données!I17*L10)</f>
        <v>0.14624999999999999</v>
      </c>
      <c r="N10" s="43">
        <f>IF(D10=" "," ",Données!K17+Données!M17)</f>
        <v>276.36</v>
      </c>
      <c r="O10" s="45">
        <f t="shared" si="1"/>
        <v>1.6525253718508676E-2</v>
      </c>
      <c r="P10" s="43" t="str">
        <f t="shared" si="2"/>
        <v>OK</v>
      </c>
      <c r="Q10" s="189">
        <f t="shared" si="5"/>
        <v>0</v>
      </c>
    </row>
    <row r="11" spans="3:17" ht="17.25" thickTop="1" thickBot="1">
      <c r="C11" s="183">
        <f>Données!D18</f>
        <v>5</v>
      </c>
      <c r="D11" s="43">
        <f>IF(Données!G18=0," ",Données!G18)</f>
        <v>4517.75</v>
      </c>
      <c r="E11" s="43">
        <f>IF(D11=" "," ",Données!F18)</f>
        <v>3.06</v>
      </c>
      <c r="F11" s="43">
        <f>IF(D11=" "," ",'CALCUL RPA'!$J$8/'CALCUL RPA'!$G$8)</f>
        <v>3.75</v>
      </c>
      <c r="G11" s="224">
        <f>IF(D11=" "," ",Données!H18*F11)</f>
        <v>0.12375</v>
      </c>
      <c r="H11" s="43">
        <f>IF(D11=" "," ",Données!J18+Données!L18)</f>
        <v>166.06</v>
      </c>
      <c r="I11" s="45">
        <f t="shared" si="0"/>
        <v>1.1002235637721307E-2</v>
      </c>
      <c r="J11" s="43" t="str">
        <f t="shared" si="3"/>
        <v>OK</v>
      </c>
      <c r="K11" s="189">
        <f t="shared" si="4"/>
        <v>0</v>
      </c>
      <c r="L11" s="43">
        <f>IF(D11=" "," ",'CALCUL RPA'!$J$8/'CALCUL RPA'!$G$8)</f>
        <v>3.75</v>
      </c>
      <c r="M11" s="224">
        <f>IF(D11=" "," ",Données!I18*L11)</f>
        <v>0.12375</v>
      </c>
      <c r="N11" s="43">
        <f>IF(D11=" "," ",Données!K18+Données!M18)</f>
        <v>170.72</v>
      </c>
      <c r="O11" s="45">
        <f t="shared" si="1"/>
        <v>1.0701916881443301E-2</v>
      </c>
      <c r="P11" s="43" t="str">
        <f t="shared" si="2"/>
        <v>OK</v>
      </c>
      <c r="Q11" s="189">
        <f t="shared" si="5"/>
        <v>0</v>
      </c>
    </row>
    <row r="12" spans="3:17" ht="17.25" thickTop="1" thickBot="1">
      <c r="C12" s="183" t="str">
        <f>Données!D19</f>
        <v xml:space="preserve"> </v>
      </c>
      <c r="D12" s="43" t="str">
        <f>IF(Données!G19=0," ",Données!G19)</f>
        <v xml:space="preserve"> </v>
      </c>
      <c r="E12" s="43" t="str">
        <f>IF(D12=" "," ",Données!F19)</f>
        <v xml:space="preserve"> </v>
      </c>
      <c r="F12" s="43" t="str">
        <f>IF(D12=" "," ",'CALCUL RPA'!$J$8/'CALCUL RPA'!$G$8)</f>
        <v xml:space="preserve"> </v>
      </c>
      <c r="G12" s="224" t="str">
        <f>IF(D12=" "," ",Données!H19*F12)</f>
        <v xml:space="preserve"> </v>
      </c>
      <c r="H12" s="43" t="str">
        <f>IF(D12=" "," ",Données!J19+Données!L19)</f>
        <v xml:space="preserve"> </v>
      </c>
      <c r="I12" s="45" t="str">
        <f t="shared" si="0"/>
        <v xml:space="preserve"> </v>
      </c>
      <c r="J12" s="43" t="str">
        <f t="shared" si="3"/>
        <v xml:space="preserve"> </v>
      </c>
      <c r="K12" s="189" t="str">
        <f t="shared" si="4"/>
        <v xml:space="preserve"> </v>
      </c>
      <c r="L12" s="43" t="str">
        <f>IF(D12=" "," ",'CALCUL RPA'!$J$8/'CALCUL RPA'!$G$8)</f>
        <v xml:space="preserve"> </v>
      </c>
      <c r="M12" s="224" t="str">
        <f>IF(D12=" "," ",Données!I19*L12)</f>
        <v xml:space="preserve"> </v>
      </c>
      <c r="N12" s="43" t="str">
        <f>IF(D12=" "," ",Données!K19+Données!M19)</f>
        <v xml:space="preserve"> </v>
      </c>
      <c r="O12" s="45" t="str">
        <f t="shared" si="1"/>
        <v xml:space="preserve"> </v>
      </c>
      <c r="P12" s="43" t="str">
        <f t="shared" si="2"/>
        <v xml:space="preserve"> </v>
      </c>
      <c r="Q12" s="189" t="str">
        <f t="shared" si="5"/>
        <v xml:space="preserve"> </v>
      </c>
    </row>
    <row r="13" spans="3:17" ht="17.25" thickTop="1" thickBot="1">
      <c r="C13" s="183" t="str">
        <f>Données!D20</f>
        <v xml:space="preserve"> </v>
      </c>
      <c r="D13" s="43" t="str">
        <f>IF(Données!G20=0," ",Données!G20)</f>
        <v xml:space="preserve"> </v>
      </c>
      <c r="E13" s="43" t="str">
        <f>IF(D13=" "," ",Données!F20)</f>
        <v xml:space="preserve"> </v>
      </c>
      <c r="F13" s="43" t="str">
        <f>IF(D13=" "," ",'CALCUL RPA'!$J$8/'CALCUL RPA'!$G$8)</f>
        <v xml:space="preserve"> </v>
      </c>
      <c r="G13" s="224" t="str">
        <f>IF(D13=" "," ",Données!H20*F13)</f>
        <v xml:space="preserve"> </v>
      </c>
      <c r="H13" s="43" t="str">
        <f>IF(D13=" "," ",Données!J20+Données!L20)</f>
        <v xml:space="preserve"> </v>
      </c>
      <c r="I13" s="45" t="str">
        <f t="shared" si="0"/>
        <v xml:space="preserve"> </v>
      </c>
      <c r="J13" s="43" t="str">
        <f t="shared" si="3"/>
        <v xml:space="preserve"> </v>
      </c>
      <c r="K13" s="189" t="str">
        <f t="shared" si="4"/>
        <v xml:space="preserve"> </v>
      </c>
      <c r="L13" s="43" t="str">
        <f>IF(D13=" "," ",'CALCUL RPA'!$J$8/'CALCUL RPA'!$G$8)</f>
        <v xml:space="preserve"> </v>
      </c>
      <c r="M13" s="224" t="str">
        <f>IF(D13=" "," ",Données!I20*L13)</f>
        <v xml:space="preserve"> </v>
      </c>
      <c r="N13" s="43" t="str">
        <f>IF(D13=" "," ",Données!K20+Données!M20)</f>
        <v xml:space="preserve"> </v>
      </c>
      <c r="O13" s="45" t="str">
        <f t="shared" si="1"/>
        <v xml:space="preserve"> </v>
      </c>
      <c r="P13" s="43" t="str">
        <f t="shared" si="2"/>
        <v xml:space="preserve"> </v>
      </c>
      <c r="Q13" s="189" t="str">
        <f t="shared" si="5"/>
        <v xml:space="preserve"> </v>
      </c>
    </row>
    <row r="14" spans="3:17" ht="17.25" thickTop="1" thickBot="1">
      <c r="C14" s="183" t="str">
        <f>Données!D21</f>
        <v xml:space="preserve"> </v>
      </c>
      <c r="D14" s="43" t="str">
        <f>IF(Données!G21=0," ",Données!G21)</f>
        <v xml:space="preserve"> </v>
      </c>
      <c r="E14" s="43" t="str">
        <f>IF(D14=" "," ",Données!F21)</f>
        <v xml:space="preserve"> </v>
      </c>
      <c r="F14" s="43" t="str">
        <f>IF(D14=" "," ",'CALCUL RPA'!$J$8/'CALCUL RPA'!$G$8)</f>
        <v xml:space="preserve"> </v>
      </c>
      <c r="G14" s="224" t="str">
        <f>IF(D14=" "," ",Données!H21*F14)</f>
        <v xml:space="preserve"> </v>
      </c>
      <c r="H14" s="43" t="str">
        <f>IF(D14=" "," ",Données!J21+Données!L21)</f>
        <v xml:space="preserve"> </v>
      </c>
      <c r="I14" s="45" t="str">
        <f t="shared" si="0"/>
        <v xml:space="preserve"> </v>
      </c>
      <c r="J14" s="43" t="str">
        <f t="shared" si="3"/>
        <v xml:space="preserve"> </v>
      </c>
      <c r="K14" s="189" t="str">
        <f t="shared" si="4"/>
        <v xml:space="preserve"> </v>
      </c>
      <c r="L14" s="43" t="str">
        <f>IF(D14=" "," ",'CALCUL RPA'!$J$8/'CALCUL RPA'!$G$8)</f>
        <v xml:space="preserve"> </v>
      </c>
      <c r="M14" s="224" t="str">
        <f>IF(D14=" "," ",Données!I21*L14)</f>
        <v xml:space="preserve"> </v>
      </c>
      <c r="N14" s="43" t="str">
        <f>IF(D14=" "," ",Données!K21+Données!M21)</f>
        <v xml:space="preserve"> </v>
      </c>
      <c r="O14" s="45" t="str">
        <f t="shared" si="1"/>
        <v xml:space="preserve"> </v>
      </c>
      <c r="P14" s="43" t="str">
        <f t="shared" si="2"/>
        <v xml:space="preserve"> </v>
      </c>
      <c r="Q14" s="189" t="str">
        <f t="shared" si="5"/>
        <v xml:space="preserve"> </v>
      </c>
    </row>
    <row r="15" spans="3:17" ht="17.25" thickTop="1" thickBot="1">
      <c r="C15" s="183" t="str">
        <f>Données!D22</f>
        <v xml:space="preserve"> </v>
      </c>
      <c r="D15" s="43" t="str">
        <f>IF(Données!G22=0," ",Données!G22)</f>
        <v xml:space="preserve"> </v>
      </c>
      <c r="E15" s="43" t="str">
        <f>IF(D15=" "," ",Données!F22)</f>
        <v xml:space="preserve"> </v>
      </c>
      <c r="F15" s="43" t="str">
        <f>IF(D15=" "," ",'CALCUL RPA'!$J$8/'CALCUL RPA'!$G$8)</f>
        <v xml:space="preserve"> </v>
      </c>
      <c r="G15" s="224" t="str">
        <f>IF(D15=" "," ",Données!H22*F15)</f>
        <v xml:space="preserve"> </v>
      </c>
      <c r="H15" s="43" t="str">
        <f>IF(D15=" "," ",Données!J22+Données!L22)</f>
        <v xml:space="preserve"> </v>
      </c>
      <c r="I15" s="45" t="str">
        <f t="shared" si="0"/>
        <v xml:space="preserve"> </v>
      </c>
      <c r="J15" s="43" t="str">
        <f t="shared" si="3"/>
        <v xml:space="preserve"> </v>
      </c>
      <c r="K15" s="189" t="str">
        <f t="shared" si="4"/>
        <v xml:space="preserve"> </v>
      </c>
      <c r="L15" s="43" t="str">
        <f>IF(D15=" "," ",'CALCUL RPA'!$J$8/'CALCUL RPA'!$G$8)</f>
        <v xml:space="preserve"> </v>
      </c>
      <c r="M15" s="224" t="str">
        <f>IF(D15=" "," ",Données!I22*L15)</f>
        <v xml:space="preserve"> </v>
      </c>
      <c r="N15" s="43" t="str">
        <f>IF(D15=" "," ",Données!K22+Données!M22)</f>
        <v xml:space="preserve"> </v>
      </c>
      <c r="O15" s="45" t="str">
        <f t="shared" si="1"/>
        <v xml:space="preserve"> </v>
      </c>
      <c r="P15" s="43" t="str">
        <f t="shared" si="2"/>
        <v xml:space="preserve"> </v>
      </c>
      <c r="Q15" s="189" t="str">
        <f t="shared" si="5"/>
        <v xml:space="preserve"> </v>
      </c>
    </row>
    <row r="16" spans="3:17" ht="17.25" thickTop="1" thickBot="1">
      <c r="C16" s="183" t="str">
        <f>Données!D23</f>
        <v xml:space="preserve"> </v>
      </c>
      <c r="D16" s="43" t="str">
        <f>IF(Données!G23=0," ",Données!G23)</f>
        <v xml:space="preserve"> </v>
      </c>
      <c r="E16" s="43" t="str">
        <f>IF(D16=" "," ",Données!F23)</f>
        <v xml:space="preserve"> </v>
      </c>
      <c r="F16" s="43" t="str">
        <f>IF(D16=" "," ",'CALCUL RPA'!$J$8/'CALCUL RPA'!$G$8)</f>
        <v xml:space="preserve"> </v>
      </c>
      <c r="G16" s="224" t="str">
        <f>IF(D16=" "," ",Données!H23*F16)</f>
        <v xml:space="preserve"> </v>
      </c>
      <c r="H16" s="43" t="str">
        <f>IF(D16=" "," ",Données!J23+Données!L23)</f>
        <v xml:space="preserve"> </v>
      </c>
      <c r="I16" s="45" t="str">
        <f t="shared" si="0"/>
        <v xml:space="preserve"> </v>
      </c>
      <c r="J16" s="43" t="str">
        <f t="shared" si="3"/>
        <v xml:space="preserve"> </v>
      </c>
      <c r="K16" s="189" t="str">
        <f t="shared" si="4"/>
        <v xml:space="preserve"> </v>
      </c>
      <c r="L16" s="43" t="str">
        <f>IF(D16=" "," ",'CALCUL RPA'!$J$8/'CALCUL RPA'!$G$8)</f>
        <v xml:space="preserve"> </v>
      </c>
      <c r="M16" s="224" t="str">
        <f>IF(D16=" "," ",Données!I23*L16)</f>
        <v xml:space="preserve"> </v>
      </c>
      <c r="N16" s="43" t="str">
        <f>IF(D16=" "," ",Données!K23+Données!M23)</f>
        <v xml:space="preserve"> </v>
      </c>
      <c r="O16" s="45" t="str">
        <f t="shared" si="1"/>
        <v xml:space="preserve"> </v>
      </c>
      <c r="P16" s="43" t="str">
        <f t="shared" si="2"/>
        <v xml:space="preserve"> </v>
      </c>
      <c r="Q16" s="189" t="str">
        <f t="shared" si="5"/>
        <v xml:space="preserve"> </v>
      </c>
    </row>
    <row r="17" spans="3:17" ht="17.25" thickTop="1" thickBot="1">
      <c r="C17" s="183" t="str">
        <f>Données!D24</f>
        <v xml:space="preserve"> </v>
      </c>
      <c r="D17" s="43" t="str">
        <f>IF(Données!G24=0," ",Données!G24)</f>
        <v xml:space="preserve"> </v>
      </c>
      <c r="E17" s="43" t="str">
        <f>IF(D17=" "," ",Données!F24)</f>
        <v xml:space="preserve"> </v>
      </c>
      <c r="F17" s="43" t="str">
        <f>IF(D17=" "," ",'CALCUL RPA'!$J$8/'CALCUL RPA'!$G$8)</f>
        <v xml:space="preserve"> </v>
      </c>
      <c r="G17" s="224" t="str">
        <f>IF(D17=" "," ",Données!H24*F17)</f>
        <v xml:space="preserve"> </v>
      </c>
      <c r="H17" s="43" t="str">
        <f>IF(D17=" "," ",Données!J24+Données!L24)</f>
        <v xml:space="preserve"> </v>
      </c>
      <c r="I17" s="45" t="str">
        <f t="shared" si="0"/>
        <v xml:space="preserve"> </v>
      </c>
      <c r="J17" s="43" t="str">
        <f t="shared" si="3"/>
        <v xml:space="preserve"> </v>
      </c>
      <c r="K17" s="189" t="str">
        <f t="shared" si="4"/>
        <v xml:space="preserve"> </v>
      </c>
      <c r="L17" s="43" t="str">
        <f>IF(D17=" "," ",'CALCUL RPA'!$J$8/'CALCUL RPA'!$G$8)</f>
        <v xml:space="preserve"> </v>
      </c>
      <c r="M17" s="224" t="str">
        <f>IF(D17=" "," ",Données!I24*L17)</f>
        <v xml:space="preserve"> </v>
      </c>
      <c r="N17" s="43" t="str">
        <f>IF(D17=" "," ",Données!K24+Données!M24)</f>
        <v xml:space="preserve"> </v>
      </c>
      <c r="O17" s="45" t="str">
        <f t="shared" si="1"/>
        <v xml:space="preserve"> </v>
      </c>
      <c r="P17" s="43" t="str">
        <f t="shared" si="2"/>
        <v xml:space="preserve"> </v>
      </c>
      <c r="Q17" s="189" t="str">
        <f t="shared" si="5"/>
        <v xml:space="preserve"> </v>
      </c>
    </row>
    <row r="18" spans="3:17" ht="17.25" thickTop="1" thickBot="1">
      <c r="C18" s="183" t="str">
        <f>Données!D25</f>
        <v xml:space="preserve"> </v>
      </c>
      <c r="D18" s="43" t="str">
        <f>IF(Données!G25=0," ",Données!G25)</f>
        <v xml:space="preserve"> </v>
      </c>
      <c r="E18" s="43" t="str">
        <f>IF(D18=" "," ",Données!F25)</f>
        <v xml:space="preserve"> </v>
      </c>
      <c r="F18" s="43" t="str">
        <f>IF(D18=" "," ",'CALCUL RPA'!$J$8/'CALCUL RPA'!$G$8)</f>
        <v xml:space="preserve"> </v>
      </c>
      <c r="G18" s="224" t="str">
        <f>IF(D18=" "," ",Données!H25*F18)</f>
        <v xml:space="preserve"> </v>
      </c>
      <c r="H18" s="43" t="str">
        <f>IF(D18=" "," ",Données!J25+Données!L25)</f>
        <v xml:space="preserve"> </v>
      </c>
      <c r="I18" s="45" t="str">
        <f t="shared" si="0"/>
        <v xml:space="preserve"> </v>
      </c>
      <c r="J18" s="43" t="str">
        <f t="shared" si="3"/>
        <v xml:space="preserve"> </v>
      </c>
      <c r="K18" s="189" t="str">
        <f t="shared" si="4"/>
        <v xml:space="preserve"> </v>
      </c>
      <c r="L18" s="43" t="str">
        <f>IF(D18=" "," ",'CALCUL RPA'!$J$8/'CALCUL RPA'!$G$8)</f>
        <v xml:space="preserve"> </v>
      </c>
      <c r="M18" s="224" t="str">
        <f>IF(D18=" "," ",Données!I25*L18)</f>
        <v xml:space="preserve"> </v>
      </c>
      <c r="N18" s="43" t="str">
        <f>IF(D18=" "," ",Données!K25+Données!M25)</f>
        <v xml:space="preserve"> </v>
      </c>
      <c r="O18" s="45" t="str">
        <f t="shared" si="1"/>
        <v xml:space="preserve"> </v>
      </c>
      <c r="P18" s="43" t="str">
        <f t="shared" si="2"/>
        <v xml:space="preserve"> </v>
      </c>
      <c r="Q18" s="189" t="str">
        <f t="shared" si="5"/>
        <v xml:space="preserve"> </v>
      </c>
    </row>
    <row r="19" spans="3:17" ht="17.25" thickTop="1" thickBot="1">
      <c r="C19" s="183" t="str">
        <f>Données!D26</f>
        <v xml:space="preserve"> </v>
      </c>
      <c r="D19" s="43" t="str">
        <f>IF(Données!G26=0," ",Données!G26)</f>
        <v xml:space="preserve"> </v>
      </c>
      <c r="E19" s="43" t="str">
        <f>IF(D19=" "," ",Données!F26)</f>
        <v xml:space="preserve"> </v>
      </c>
      <c r="F19" s="43" t="str">
        <f>IF(D19=" "," ",'CALCUL RPA'!$J$8/'CALCUL RPA'!$G$8)</f>
        <v xml:space="preserve"> </v>
      </c>
      <c r="G19" s="224" t="str">
        <f>IF(D19=" "," ",Données!H26*F19)</f>
        <v xml:space="preserve"> </v>
      </c>
      <c r="H19" s="43" t="str">
        <f>IF(D19=" "," ",Données!J26+Données!L26)</f>
        <v xml:space="preserve"> </v>
      </c>
      <c r="I19" s="45" t="str">
        <f t="shared" si="0"/>
        <v xml:space="preserve"> </v>
      </c>
      <c r="J19" s="43" t="str">
        <f t="shared" si="3"/>
        <v xml:space="preserve"> </v>
      </c>
      <c r="K19" s="189" t="str">
        <f t="shared" si="4"/>
        <v xml:space="preserve"> </v>
      </c>
      <c r="L19" s="43" t="str">
        <f>IF(D19=" "," ",'CALCUL RPA'!$J$8/'CALCUL RPA'!$G$8)</f>
        <v xml:space="preserve"> </v>
      </c>
      <c r="M19" s="224" t="str">
        <f>IF(D19=" "," ",Données!I26*L19)</f>
        <v xml:space="preserve"> </v>
      </c>
      <c r="N19" s="43" t="str">
        <f>IF(D19=" "," ",Données!K26+Données!M26)</f>
        <v xml:space="preserve"> </v>
      </c>
      <c r="O19" s="45" t="str">
        <f t="shared" si="1"/>
        <v xml:space="preserve"> </v>
      </c>
      <c r="P19" s="43" t="str">
        <f t="shared" si="2"/>
        <v xml:space="preserve"> </v>
      </c>
      <c r="Q19" s="189" t="str">
        <f t="shared" si="5"/>
        <v xml:space="preserve"> </v>
      </c>
    </row>
    <row r="20" spans="3:17" ht="17.25" thickTop="1" thickBot="1">
      <c r="C20" s="183" t="str">
        <f>Données!D27</f>
        <v xml:space="preserve"> </v>
      </c>
      <c r="D20" s="43" t="str">
        <f>IF(Données!G27=0," ",Données!G27)</f>
        <v xml:space="preserve"> </v>
      </c>
      <c r="E20" s="43" t="str">
        <f>IF(D20=" "," ",Données!F27)</f>
        <v xml:space="preserve"> </v>
      </c>
      <c r="F20" s="43" t="str">
        <f>IF(D20=" "," ",'CALCUL RPA'!$J$8/'CALCUL RPA'!$G$8)</f>
        <v xml:space="preserve"> </v>
      </c>
      <c r="G20" s="224" t="str">
        <f>IF(D20=" "," ",Données!H27*F20)</f>
        <v xml:space="preserve"> </v>
      </c>
      <c r="H20" s="43" t="str">
        <f>IF(D20=" "," ",Données!J27+Données!L27)</f>
        <v xml:space="preserve"> </v>
      </c>
      <c r="I20" s="45" t="str">
        <f t="shared" si="0"/>
        <v xml:space="preserve"> </v>
      </c>
      <c r="J20" s="43" t="str">
        <f t="shared" si="3"/>
        <v xml:space="preserve"> </v>
      </c>
      <c r="K20" s="189" t="str">
        <f t="shared" si="4"/>
        <v xml:space="preserve"> </v>
      </c>
      <c r="L20" s="43" t="str">
        <f>IF(D20=" "," ",'CALCUL RPA'!$J$8/'CALCUL RPA'!$G$8)</f>
        <v xml:space="preserve"> </v>
      </c>
      <c r="M20" s="224" t="str">
        <f>IF(D20=" "," ",Données!I27*L20)</f>
        <v xml:space="preserve"> </v>
      </c>
      <c r="N20" s="43" t="str">
        <f>IF(D20=" "," ",Données!K27+Données!M27)</f>
        <v xml:space="preserve"> </v>
      </c>
      <c r="O20" s="45" t="str">
        <f t="shared" si="1"/>
        <v xml:space="preserve"> </v>
      </c>
      <c r="P20" s="43" t="str">
        <f t="shared" si="2"/>
        <v xml:space="preserve"> </v>
      </c>
      <c r="Q20" s="189" t="str">
        <f t="shared" si="5"/>
        <v xml:space="preserve"> </v>
      </c>
    </row>
    <row r="21" spans="3:17" ht="17.25" thickTop="1" thickBot="1">
      <c r="C21" s="183" t="str">
        <f>Données!D28</f>
        <v xml:space="preserve"> </v>
      </c>
      <c r="D21" s="43" t="str">
        <f>IF(Données!G28=0," ",Données!G28)</f>
        <v xml:space="preserve"> </v>
      </c>
      <c r="E21" s="43" t="str">
        <f>IF(D21=" "," ",Données!F28)</f>
        <v xml:space="preserve"> </v>
      </c>
      <c r="F21" s="43" t="str">
        <f>IF(D21=" "," ",'CALCUL RPA'!$J$8/'CALCUL RPA'!$G$8)</f>
        <v xml:space="preserve"> </v>
      </c>
      <c r="G21" s="224" t="str">
        <f>IF(D21=" "," ",Données!H28*F21)</f>
        <v xml:space="preserve"> </v>
      </c>
      <c r="H21" s="43" t="str">
        <f>IF(D21=" "," ",Données!J28+Données!L28)</f>
        <v xml:space="preserve"> </v>
      </c>
      <c r="I21" s="45" t="str">
        <f t="shared" si="0"/>
        <v xml:space="preserve"> </v>
      </c>
      <c r="J21" s="43" t="str">
        <f t="shared" si="3"/>
        <v xml:space="preserve"> </v>
      </c>
      <c r="K21" s="189" t="str">
        <f t="shared" si="4"/>
        <v xml:space="preserve"> </v>
      </c>
      <c r="L21" s="43" t="str">
        <f>IF(D21=" "," ",'CALCUL RPA'!$J$8/'CALCUL RPA'!$G$8)</f>
        <v xml:space="preserve"> </v>
      </c>
      <c r="M21" s="224" t="str">
        <f>IF(D21=" "," ",Données!I28*L21)</f>
        <v xml:space="preserve"> </v>
      </c>
      <c r="N21" s="43" t="str">
        <f>IF(D21=" "," ",Données!K28+Données!M28)</f>
        <v xml:space="preserve"> </v>
      </c>
      <c r="O21" s="45" t="str">
        <f t="shared" si="1"/>
        <v xml:space="preserve"> </v>
      </c>
      <c r="P21" s="43" t="str">
        <f t="shared" si="2"/>
        <v xml:space="preserve"> </v>
      </c>
      <c r="Q21" s="189" t="str">
        <f t="shared" si="5"/>
        <v xml:space="preserve"> </v>
      </c>
    </row>
    <row r="22" spans="3:17" ht="17.25" thickTop="1" thickBot="1">
      <c r="C22" s="183" t="str">
        <f>Données!D29</f>
        <v xml:space="preserve"> </v>
      </c>
      <c r="D22" s="43" t="str">
        <f>IF(Données!G29=0," ",Données!G29)</f>
        <v xml:space="preserve"> </v>
      </c>
      <c r="E22" s="43" t="str">
        <f>IF(D22=" "," ",Données!F29)</f>
        <v xml:space="preserve"> </v>
      </c>
      <c r="F22" s="43" t="str">
        <f>IF(D22=" "," ",'CALCUL RPA'!$J$8/'CALCUL RPA'!$G$8)</f>
        <v xml:space="preserve"> </v>
      </c>
      <c r="G22" s="224" t="str">
        <f>IF(D22=" "," ",Données!H29*F22)</f>
        <v xml:space="preserve"> </v>
      </c>
      <c r="H22" s="43" t="str">
        <f>IF(D22=" "," ",Données!J29+Données!L29)</f>
        <v xml:space="preserve"> </v>
      </c>
      <c r="I22" s="45" t="str">
        <f t="shared" si="0"/>
        <v xml:space="preserve"> </v>
      </c>
      <c r="J22" s="43" t="str">
        <f t="shared" si="3"/>
        <v xml:space="preserve"> </v>
      </c>
      <c r="K22" s="189" t="str">
        <f t="shared" si="4"/>
        <v xml:space="preserve"> </v>
      </c>
      <c r="L22" s="43" t="str">
        <f>IF(D22=" "," ",'CALCUL RPA'!$J$8/'CALCUL RPA'!$G$8)</f>
        <v xml:space="preserve"> </v>
      </c>
      <c r="M22" s="224" t="str">
        <f>IF(D22=" "," ",Données!I29*L22)</f>
        <v xml:space="preserve"> </v>
      </c>
      <c r="N22" s="43" t="str">
        <f>IF(D22=" "," ",Données!K29+Données!M29)</f>
        <v xml:space="preserve"> </v>
      </c>
      <c r="O22" s="45" t="str">
        <f t="shared" si="1"/>
        <v xml:space="preserve"> </v>
      </c>
      <c r="P22" s="43" t="str">
        <f t="shared" si="2"/>
        <v xml:space="preserve"> </v>
      </c>
      <c r="Q22" s="189" t="str">
        <f t="shared" si="5"/>
        <v xml:space="preserve"> </v>
      </c>
    </row>
    <row r="23" spans="3:17" ht="17.25" thickTop="1" thickBot="1">
      <c r="C23" s="183" t="str">
        <f>Données!D30</f>
        <v xml:space="preserve"> </v>
      </c>
      <c r="D23" s="43" t="str">
        <f>IF(Données!G30=0," ",Données!G30)</f>
        <v xml:space="preserve"> </v>
      </c>
      <c r="E23" s="43" t="str">
        <f>IF(D23=" "," ",Données!F30)</f>
        <v xml:space="preserve"> </v>
      </c>
      <c r="F23" s="43" t="str">
        <f>IF(D23=" "," ",'CALCUL RPA'!$J$8/'CALCUL RPA'!$G$8)</f>
        <v xml:space="preserve"> </v>
      </c>
      <c r="G23" s="224" t="str">
        <f>IF(D23=" "," ",Données!H30*F23)</f>
        <v xml:space="preserve"> </v>
      </c>
      <c r="H23" s="43" t="str">
        <f>IF(D23=" "," ",Données!J30+Données!L30)</f>
        <v xml:space="preserve"> </v>
      </c>
      <c r="I23" s="45" t="str">
        <f t="shared" si="0"/>
        <v xml:space="preserve"> </v>
      </c>
      <c r="J23" s="43" t="str">
        <f t="shared" si="3"/>
        <v xml:space="preserve"> </v>
      </c>
      <c r="K23" s="189" t="str">
        <f t="shared" si="4"/>
        <v xml:space="preserve"> </v>
      </c>
      <c r="L23" s="43" t="str">
        <f>IF(D23=" "," ",'CALCUL RPA'!$J$8/'CALCUL RPA'!$G$8)</f>
        <v xml:space="preserve"> </v>
      </c>
      <c r="M23" s="224" t="str">
        <f>IF(D23=" "," ",Données!I30*L23)</f>
        <v xml:space="preserve"> </v>
      </c>
      <c r="N23" s="43" t="str">
        <f>IF(D23=" "," ",Données!K30+Données!M30)</f>
        <v xml:space="preserve"> </v>
      </c>
      <c r="O23" s="45" t="str">
        <f t="shared" si="1"/>
        <v xml:space="preserve"> </v>
      </c>
      <c r="P23" s="43" t="str">
        <f t="shared" si="2"/>
        <v xml:space="preserve"> </v>
      </c>
      <c r="Q23" s="189" t="str">
        <f t="shared" si="5"/>
        <v xml:space="preserve"> </v>
      </c>
    </row>
    <row r="24" spans="3:17" ht="17.25" thickTop="1" thickBot="1">
      <c r="C24" s="183" t="str">
        <f>Données!D31</f>
        <v xml:space="preserve"> </v>
      </c>
      <c r="D24" s="43" t="str">
        <f>IF(Données!G31=0," ",Données!G31)</f>
        <v xml:space="preserve"> </v>
      </c>
      <c r="E24" s="43" t="str">
        <f>IF(D24=" "," ",Données!F31)</f>
        <v xml:space="preserve"> </v>
      </c>
      <c r="F24" s="43" t="str">
        <f>IF(D24=" "," ",'CALCUL RPA'!$J$8/'CALCUL RPA'!$G$8)</f>
        <v xml:space="preserve"> </v>
      </c>
      <c r="G24" s="224" t="str">
        <f>IF(D24=" "," ",Données!H31*F24)</f>
        <v xml:space="preserve"> </v>
      </c>
      <c r="H24" s="43" t="str">
        <f>IF(D24=" "," ",Données!J31+Données!L31)</f>
        <v xml:space="preserve"> </v>
      </c>
      <c r="I24" s="45" t="str">
        <f t="shared" si="0"/>
        <v xml:space="preserve"> </v>
      </c>
      <c r="J24" s="43" t="str">
        <f t="shared" si="3"/>
        <v xml:space="preserve"> </v>
      </c>
      <c r="K24" s="189" t="str">
        <f t="shared" si="4"/>
        <v xml:space="preserve"> </v>
      </c>
      <c r="L24" s="43" t="str">
        <f>IF(D24=" "," ",'CALCUL RPA'!$J$8/'CALCUL RPA'!$G$8)</f>
        <v xml:space="preserve"> </v>
      </c>
      <c r="M24" s="224" t="str">
        <f>IF(D24=" "," ",Données!I31*L24)</f>
        <v xml:space="preserve"> </v>
      </c>
      <c r="N24" s="43" t="str">
        <f>IF(D24=" "," ",Données!K31+Données!M31)</f>
        <v xml:space="preserve"> </v>
      </c>
      <c r="O24" s="45" t="str">
        <f t="shared" si="1"/>
        <v xml:space="preserve"> </v>
      </c>
      <c r="P24" s="43" t="str">
        <f t="shared" si="2"/>
        <v xml:space="preserve"> </v>
      </c>
      <c r="Q24" s="189" t="str">
        <f t="shared" si="5"/>
        <v xml:space="preserve"> </v>
      </c>
    </row>
    <row r="25" spans="3:17" ht="17.25" thickTop="1" thickBot="1">
      <c r="C25" s="183" t="str">
        <f>Données!D32</f>
        <v xml:space="preserve"> </v>
      </c>
      <c r="D25" s="43" t="str">
        <f>IF(Données!G32=0," ",Données!G32)</f>
        <v xml:space="preserve"> </v>
      </c>
      <c r="E25" s="43" t="str">
        <f>IF(D25=" "," ",Données!F32)</f>
        <v xml:space="preserve"> </v>
      </c>
      <c r="F25" s="43" t="str">
        <f>IF(D25=" "," ",'CALCUL RPA'!$J$8/'CALCUL RPA'!$G$8)</f>
        <v xml:space="preserve"> </v>
      </c>
      <c r="G25" s="224" t="str">
        <f>IF(D25=" "," ",Données!H32*F25)</f>
        <v xml:space="preserve"> </v>
      </c>
      <c r="H25" s="43" t="str">
        <f>IF(D25=" "," ",Données!J32+Données!L32)</f>
        <v xml:space="preserve"> </v>
      </c>
      <c r="I25" s="45" t="str">
        <f t="shared" si="0"/>
        <v xml:space="preserve"> </v>
      </c>
      <c r="J25" s="43" t="str">
        <f t="shared" si="3"/>
        <v xml:space="preserve"> </v>
      </c>
      <c r="K25" s="189" t="str">
        <f t="shared" si="4"/>
        <v xml:space="preserve"> </v>
      </c>
      <c r="L25" s="43" t="str">
        <f>IF(D25=" "," ",'CALCUL RPA'!$J$8/'CALCUL RPA'!$G$8)</f>
        <v xml:space="preserve"> </v>
      </c>
      <c r="M25" s="224" t="str">
        <f>IF(D25=" "," ",Données!I32*L25)</f>
        <v xml:space="preserve"> </v>
      </c>
      <c r="N25" s="43" t="str">
        <f>IF(D25=" "," ",Données!K32+Données!M32)</f>
        <v xml:space="preserve"> </v>
      </c>
      <c r="O25" s="45" t="str">
        <f t="shared" si="1"/>
        <v xml:space="preserve"> </v>
      </c>
      <c r="P25" s="43" t="str">
        <f t="shared" si="2"/>
        <v xml:space="preserve"> </v>
      </c>
      <c r="Q25" s="189" t="str">
        <f t="shared" si="5"/>
        <v xml:space="preserve"> </v>
      </c>
    </row>
    <row r="26" spans="3:17" ht="17.25" thickTop="1" thickBot="1">
      <c r="C26" s="183" t="str">
        <f>Données!D33</f>
        <v xml:space="preserve"> </v>
      </c>
      <c r="D26" s="43" t="str">
        <f>IF(Données!G33=0," ",Données!G33)</f>
        <v xml:space="preserve"> </v>
      </c>
      <c r="E26" s="43" t="str">
        <f>IF(D26=" "," ",Données!F33)</f>
        <v xml:space="preserve"> </v>
      </c>
      <c r="F26" s="43" t="str">
        <f>IF(D26=" "," ",'CALCUL RPA'!$J$8/'CALCUL RPA'!$G$8)</f>
        <v xml:space="preserve"> </v>
      </c>
      <c r="G26" s="224" t="str">
        <f>IF(D26=" "," ",Données!H33*F26)</f>
        <v xml:space="preserve"> </v>
      </c>
      <c r="H26" s="43" t="str">
        <f>IF(D26=" "," ",Données!J33+Données!L33)</f>
        <v xml:space="preserve"> </v>
      </c>
      <c r="I26" s="45" t="str">
        <f t="shared" si="0"/>
        <v xml:space="preserve"> </v>
      </c>
      <c r="J26" s="43" t="str">
        <f t="shared" si="3"/>
        <v xml:space="preserve"> </v>
      </c>
      <c r="K26" s="189" t="str">
        <f t="shared" si="4"/>
        <v xml:space="preserve"> </v>
      </c>
      <c r="L26" s="43" t="str">
        <f>IF(D26=" "," ",'CALCUL RPA'!$J$8/'CALCUL RPA'!$G$8)</f>
        <v xml:space="preserve"> </v>
      </c>
      <c r="M26" s="224" t="str">
        <f>IF(D26=" "," ",Données!I33*L26)</f>
        <v xml:space="preserve"> </v>
      </c>
      <c r="N26" s="43" t="str">
        <f>IF(D26=" "," ",Données!K33+Données!M33)</f>
        <v xml:space="preserve"> </v>
      </c>
      <c r="O26" s="45" t="str">
        <f t="shared" si="1"/>
        <v xml:space="preserve"> </v>
      </c>
      <c r="P26" s="43" t="str">
        <f t="shared" si="2"/>
        <v xml:space="preserve"> </v>
      </c>
      <c r="Q26" s="189" t="str">
        <f t="shared" si="5"/>
        <v xml:space="preserve"> </v>
      </c>
    </row>
    <row r="27" spans="3:17" ht="16.5" thickTop="1">
      <c r="I27" s="42"/>
      <c r="N27" s="42"/>
    </row>
    <row r="28" spans="3:17">
      <c r="I28" s="31"/>
      <c r="N28" s="31"/>
    </row>
  </sheetData>
  <mergeCells count="3">
    <mergeCell ref="L5:Q5"/>
    <mergeCell ref="C2:Q2"/>
    <mergeCell ref="F5:K5"/>
  </mergeCells>
  <conditionalFormatting sqref="P12">
    <cfRule type="cellIs" dxfId="21" priority="7" stopIfTrue="1" operator="equal">
      <formula>"C.N.V"</formula>
    </cfRule>
    <cfRule type="cellIs" dxfId="20" priority="8" stopIfTrue="1" operator="equal">
      <formula>$P$12</formula>
    </cfRule>
  </conditionalFormatting>
  <conditionalFormatting sqref="P7:P26 J7:K26">
    <cfRule type="cellIs" dxfId="19" priority="15" stopIfTrue="1" operator="equal">
      <formula>"C.N.V"</formula>
    </cfRule>
    <cfRule type="cellIs" dxfId="18" priority="16" stopIfTrue="1" operator="equal">
      <formula>$J$7</formula>
    </cfRule>
  </conditionalFormatting>
  <conditionalFormatting sqref="K7:K26">
    <cfRule type="cellIs" dxfId="17" priority="4" operator="notEqual">
      <formula>0</formula>
    </cfRule>
  </conditionalFormatting>
  <conditionalFormatting sqref="Q7:Q26">
    <cfRule type="cellIs" dxfId="16" priority="2" stopIfTrue="1" operator="equal">
      <formula>"C.N.V"</formula>
    </cfRule>
    <cfRule type="cellIs" dxfId="15" priority="3" stopIfTrue="1" operator="equal">
      <formula>$J$7</formula>
    </cfRule>
  </conditionalFormatting>
  <conditionalFormatting sqref="Q7:Q26">
    <cfRule type="cellIs" dxfId="14" priority="1" operator="notEqual">
      <formula>0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8">
    <tabColor rgb="FF002060"/>
  </sheetPr>
  <dimension ref="C1:R28"/>
  <sheetViews>
    <sheetView showGridLines="0" topLeftCell="A4" zoomScaleNormal="100" workbookViewId="0">
      <selection activeCell="B15" sqref="B15"/>
    </sheetView>
  </sheetViews>
  <sheetFormatPr defaultColWidth="9.140625" defaultRowHeight="15.75"/>
  <cols>
    <col min="1" max="2" width="9.140625" style="1"/>
    <col min="3" max="3" width="5.85546875" style="1" bestFit="1" customWidth="1"/>
    <col min="4" max="4" width="5.85546875" style="1" customWidth="1"/>
    <col min="5" max="5" width="9.85546875" style="1" customWidth="1"/>
    <col min="6" max="7" width="9.28515625" style="1" customWidth="1"/>
    <col min="8" max="8" width="12.28515625" style="1" bestFit="1" customWidth="1"/>
    <col min="9" max="9" width="11" style="1" bestFit="1" customWidth="1"/>
    <col min="10" max="10" width="15.140625" style="1" bestFit="1" customWidth="1"/>
    <col min="11" max="11" width="9.85546875" style="1" customWidth="1"/>
    <col min="12" max="13" width="9.28515625" style="1" customWidth="1"/>
    <col min="14" max="14" width="10.85546875" style="1" bestFit="1" customWidth="1"/>
    <col min="15" max="15" width="11.140625" style="1" bestFit="1" customWidth="1"/>
    <col min="16" max="16" width="15.140625" style="1" bestFit="1" customWidth="1"/>
    <col min="17" max="16384" width="9.140625" style="1"/>
  </cols>
  <sheetData>
    <row r="1" spans="3:18" ht="16.5" thickBot="1"/>
    <row r="2" spans="3:18" ht="21" thickTop="1">
      <c r="C2" s="272" t="s">
        <v>149</v>
      </c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73"/>
      <c r="P2" s="274"/>
    </row>
    <row r="3" spans="3:18" ht="16.5" thickBot="1">
      <c r="C3" s="46" t="s">
        <v>146</v>
      </c>
      <c r="D3" s="47"/>
      <c r="E3" s="48" t="str">
        <f>'CALCUL RPA'!$D$3</f>
        <v>Vers 1.5.1</v>
      </c>
      <c r="F3" s="49"/>
      <c r="G3" s="49"/>
      <c r="H3" s="50"/>
      <c r="I3" s="49"/>
      <c r="J3" s="47"/>
      <c r="K3" s="49"/>
      <c r="L3" s="49"/>
      <c r="M3" s="50"/>
      <c r="N3" s="48"/>
      <c r="O3" s="47"/>
      <c r="P3" s="51"/>
    </row>
    <row r="4" spans="3:18" ht="17.25" thickTop="1" thickBot="1">
      <c r="C4" s="41"/>
      <c r="D4" s="41"/>
      <c r="E4" s="41"/>
      <c r="F4" s="41"/>
      <c r="G4" s="41"/>
      <c r="H4" s="41"/>
      <c r="K4" s="41"/>
      <c r="L4" s="41"/>
      <c r="M4" s="41"/>
      <c r="N4" s="41"/>
    </row>
    <row r="5" spans="3:18" ht="17.25" thickTop="1" thickBot="1">
      <c r="C5" s="41"/>
      <c r="D5" s="41"/>
      <c r="E5" s="396" t="s">
        <v>144</v>
      </c>
      <c r="F5" s="397"/>
      <c r="G5" s="397"/>
      <c r="H5" s="397"/>
      <c r="I5" s="397"/>
      <c r="J5" s="398"/>
      <c r="K5" s="396" t="s">
        <v>145</v>
      </c>
      <c r="L5" s="397"/>
      <c r="M5" s="397"/>
      <c r="N5" s="397"/>
      <c r="O5" s="397"/>
      <c r="P5" s="398"/>
    </row>
    <row r="6" spans="3:18" ht="20.25" customHeight="1" thickTop="1" thickBot="1">
      <c r="C6" s="52" t="s">
        <v>81</v>
      </c>
      <c r="D6" s="52" t="s">
        <v>98</v>
      </c>
      <c r="E6" s="52" t="s">
        <v>99</v>
      </c>
      <c r="F6" s="52" t="s">
        <v>91</v>
      </c>
      <c r="G6" s="59" t="s">
        <v>92</v>
      </c>
      <c r="H6" s="52" t="s">
        <v>94</v>
      </c>
      <c r="I6" s="59" t="s">
        <v>96</v>
      </c>
      <c r="J6" s="59" t="s">
        <v>106</v>
      </c>
      <c r="K6" s="52" t="s">
        <v>100</v>
      </c>
      <c r="L6" s="59" t="s">
        <v>91</v>
      </c>
      <c r="M6" s="59" t="s">
        <v>93</v>
      </c>
      <c r="N6" s="52" t="s">
        <v>95</v>
      </c>
      <c r="O6" s="59" t="s">
        <v>97</v>
      </c>
      <c r="P6" s="59" t="s">
        <v>107</v>
      </c>
    </row>
    <row r="7" spans="3:18" ht="17.25" thickTop="1" thickBot="1">
      <c r="C7" s="183">
        <f>Données!D14</f>
        <v>1</v>
      </c>
      <c r="D7" s="43">
        <f>IF(E7=" "," ",SUM(Données!$F$14:'Données'!F14))</f>
        <v>3.06</v>
      </c>
      <c r="E7" s="43">
        <f>IF(Données!F14=0," ",Données!J14+Données!L14)</f>
        <v>442.02</v>
      </c>
      <c r="F7" s="64"/>
      <c r="G7" s="60"/>
      <c r="H7" s="66">
        <f>IF(E7=" "," ",IF(E8=" ",E7*D7,(E7-E8)*D7))</f>
        <v>121.97160000000004</v>
      </c>
      <c r="I7" s="67"/>
      <c r="J7" s="64"/>
      <c r="K7" s="66">
        <f>IF(D7=" "," ",Données!K14+Données!M14)</f>
        <v>460.05</v>
      </c>
      <c r="L7" s="64"/>
      <c r="M7" s="60"/>
      <c r="N7" s="66">
        <f t="shared" ref="N7:N26" si="0">IF(K7=" "," ",IF(K8=" ",K7*D7,(K7-K8)*D7))</f>
        <v>126.31680000000009</v>
      </c>
      <c r="O7" s="67"/>
      <c r="P7" s="64"/>
    </row>
    <row r="8" spans="3:18" ht="17.25" thickTop="1" thickBot="1">
      <c r="C8" s="183">
        <f>Données!D15</f>
        <v>2</v>
      </c>
      <c r="D8" s="43">
        <f>IF(E8=" "," ",SUM(Données!$F$14:'Données'!F15))</f>
        <v>6.12</v>
      </c>
      <c r="E8" s="43">
        <f>IF(Données!F15=0," ",Données!J15+Données!L15)</f>
        <v>402.15999999999997</v>
      </c>
      <c r="F8" s="62"/>
      <c r="G8" s="61"/>
      <c r="H8" s="66">
        <f t="shared" ref="H8:H26" si="1">IF(E8=" "," ",IF(E9=" ",E8*D8,(E8-E9)*D8))</f>
        <v>379.74599999999975</v>
      </c>
      <c r="I8" s="68"/>
      <c r="J8" s="62"/>
      <c r="K8" s="66">
        <f>IF(D8=" "," ",Données!K15+Données!M15)</f>
        <v>418.77</v>
      </c>
      <c r="L8" s="62"/>
      <c r="M8" s="61"/>
      <c r="N8" s="66">
        <f t="shared" si="0"/>
        <v>392.84280000000001</v>
      </c>
      <c r="O8" s="68"/>
      <c r="P8" s="62"/>
    </row>
    <row r="9" spans="3:18" ht="17.25" thickTop="1" thickBot="1">
      <c r="C9" s="183">
        <f>Données!D16</f>
        <v>3</v>
      </c>
      <c r="D9" s="43">
        <f>IF(E9=" "," ",SUM(Données!$F$14:'Données'!F16))</f>
        <v>9.18</v>
      </c>
      <c r="E9" s="43">
        <f>IF(Données!F16=0," ",Données!J16+Données!L16)</f>
        <v>340.11</v>
      </c>
      <c r="F9" s="62"/>
      <c r="G9" s="61"/>
      <c r="H9" s="66">
        <f t="shared" si="1"/>
        <v>681.24780000000032</v>
      </c>
      <c r="I9" s="68"/>
      <c r="J9" s="62"/>
      <c r="K9" s="66">
        <f>IF(D9=" "," ",Données!K16+Données!M16)</f>
        <v>354.58</v>
      </c>
      <c r="L9" s="62"/>
      <c r="M9" s="61"/>
      <c r="N9" s="66">
        <f t="shared" si="0"/>
        <v>718.0595999999997</v>
      </c>
      <c r="O9" s="68"/>
      <c r="P9" s="62"/>
    </row>
    <row r="10" spans="3:18" ht="17.25" thickTop="1" thickBot="1">
      <c r="C10" s="183">
        <f>Données!D17</f>
        <v>4</v>
      </c>
      <c r="D10" s="43">
        <f>IF(E10=" "," ",SUM(Données!$F$14:'Données'!F17))</f>
        <v>12.24</v>
      </c>
      <c r="E10" s="43">
        <f>IF(Données!F17=0," ",Données!J17+Données!L17)</f>
        <v>265.89999999999998</v>
      </c>
      <c r="F10" s="62"/>
      <c r="G10" s="61"/>
      <c r="H10" s="66">
        <f t="shared" si="1"/>
        <v>1222.0415999999998</v>
      </c>
      <c r="I10" s="68"/>
      <c r="J10" s="62"/>
      <c r="K10" s="66">
        <f>IF(D10=" "," ",Données!K17+Données!M17)</f>
        <v>276.36</v>
      </c>
      <c r="L10" s="62"/>
      <c r="M10" s="61"/>
      <c r="N10" s="66">
        <f t="shared" si="0"/>
        <v>1293.0336000000002</v>
      </c>
      <c r="O10" s="68"/>
      <c r="P10" s="62"/>
      <c r="R10" s="31"/>
    </row>
    <row r="11" spans="3:18" ht="17.25" thickTop="1" thickBot="1">
      <c r="C11" s="183">
        <f>Données!D18</f>
        <v>5</v>
      </c>
      <c r="D11" s="43">
        <f>IF(E11=" "," ",SUM(Données!$F$14:'Données'!F18))</f>
        <v>15.3</v>
      </c>
      <c r="E11" s="43">
        <f>IF(Données!F18=0," ",Données!J18+Données!L18)</f>
        <v>166.06</v>
      </c>
      <c r="F11" s="62"/>
      <c r="G11" s="61"/>
      <c r="H11" s="66">
        <f t="shared" si="1"/>
        <v>2540.7180000000003</v>
      </c>
      <c r="I11" s="68"/>
      <c r="J11" s="62"/>
      <c r="K11" s="66">
        <f>IF(D11=" "," ",Données!K18+Données!M18)</f>
        <v>170.72</v>
      </c>
      <c r="L11" s="62"/>
      <c r="M11" s="61"/>
      <c r="N11" s="66">
        <f t="shared" si="0"/>
        <v>2612.0160000000001</v>
      </c>
      <c r="O11" s="68"/>
      <c r="P11" s="62"/>
    </row>
    <row r="12" spans="3:18" ht="17.25" thickTop="1" thickBot="1">
      <c r="C12" s="183" t="str">
        <f>Données!D19</f>
        <v xml:space="preserve"> </v>
      </c>
      <c r="D12" s="43" t="str">
        <f>IF(E12=" "," ",SUM(Données!$F$14:'Données'!F19))</f>
        <v xml:space="preserve"> </v>
      </c>
      <c r="E12" s="43" t="str">
        <f>IF(Données!F19=0," ",Données!J19+Données!L19)</f>
        <v xml:space="preserve"> </v>
      </c>
      <c r="F12" s="62">
        <f>'CALCUL RPA'!B71</f>
        <v>24870.639999999999</v>
      </c>
      <c r="G12" s="62">
        <f>Données!N6</f>
        <v>11.52</v>
      </c>
      <c r="H12" s="66" t="str">
        <f t="shared" si="1"/>
        <v xml:space="preserve"> </v>
      </c>
      <c r="I12" s="68">
        <f>F12*G12</f>
        <v>286509.77279999998</v>
      </c>
      <c r="J12" s="62" t="str">
        <f>IF(H27/I12&lt;=1.3, "OK","C.N.V")</f>
        <v>OK</v>
      </c>
      <c r="K12" s="66" t="str">
        <f>IF(D12=" "," ",Données!K19+Données!M19)</f>
        <v xml:space="preserve"> </v>
      </c>
      <c r="L12" s="62">
        <f>'CALCUL RPA'!B71</f>
        <v>24870.639999999999</v>
      </c>
      <c r="M12" s="62">
        <f>Données!O6</f>
        <v>9.66</v>
      </c>
      <c r="N12" s="66" t="str">
        <f t="shared" si="0"/>
        <v xml:space="preserve"> </v>
      </c>
      <c r="O12" s="68">
        <f>L12*M12</f>
        <v>240250.3824</v>
      </c>
      <c r="P12" s="62" t="str">
        <f>IF(N27/O12&lt;=1.3, "OK","C.N.V")</f>
        <v>OK</v>
      </c>
    </row>
    <row r="13" spans="3:18" ht="17.25" thickTop="1" thickBot="1">
      <c r="C13" s="183" t="str">
        <f>Données!D20</f>
        <v xml:space="preserve"> </v>
      </c>
      <c r="D13" s="43" t="str">
        <f>IF(E13=" "," ",SUM(Données!$F$14:'Données'!F20))</f>
        <v xml:space="preserve"> </v>
      </c>
      <c r="E13" s="43" t="str">
        <f>IF(Données!F20=0," ",Données!J20+Données!L20)</f>
        <v xml:space="preserve"> </v>
      </c>
      <c r="F13" s="62"/>
      <c r="G13" s="61"/>
      <c r="H13" s="66" t="str">
        <f t="shared" si="1"/>
        <v xml:space="preserve"> </v>
      </c>
      <c r="I13" s="68"/>
      <c r="J13" s="190" t="str">
        <f>"Msx/Mrx = "&amp;ROUND(I12/H27,2)</f>
        <v>Msx/Mrx = 57.93</v>
      </c>
      <c r="K13" s="66" t="str">
        <f>IF(D13=" "," ",Données!K20+Données!M20)</f>
        <v xml:space="preserve"> </v>
      </c>
      <c r="L13" s="62"/>
      <c r="M13" s="61"/>
      <c r="N13" s="66" t="str">
        <f t="shared" si="0"/>
        <v xml:space="preserve"> </v>
      </c>
      <c r="O13" s="68"/>
      <c r="P13" s="190" t="str">
        <f>"Msy/Mry = "&amp;ROUND(O12/N27,2)</f>
        <v>Msy/Mry = 46.72</v>
      </c>
    </row>
    <row r="14" spans="3:18" ht="17.25" thickTop="1" thickBot="1">
      <c r="C14" s="183" t="str">
        <f>Données!D21</f>
        <v xml:space="preserve"> </v>
      </c>
      <c r="D14" s="43" t="str">
        <f>IF(E14=" "," ",SUM(Données!$F$14:'Données'!F21))</f>
        <v xml:space="preserve"> </v>
      </c>
      <c r="E14" s="43" t="str">
        <f>IF(Données!F21=0," ",Données!J21+Données!L21)</f>
        <v xml:space="preserve"> </v>
      </c>
      <c r="F14" s="62"/>
      <c r="G14" s="61"/>
      <c r="H14" s="66" t="str">
        <f t="shared" si="1"/>
        <v xml:space="preserve"> </v>
      </c>
      <c r="I14" s="68"/>
      <c r="J14" s="190" t="str">
        <f>IF(H27/I12&lt;=1.3,"Msx/Mrx &gt; 1,3","Msx/Mrx &lt; 1,3")</f>
        <v>Msx/Mrx &gt; 1,3</v>
      </c>
      <c r="K14" s="66" t="str">
        <f>IF(D14=" "," ",Données!K21+Données!M21)</f>
        <v xml:space="preserve"> </v>
      </c>
      <c r="L14" s="62"/>
      <c r="M14" s="61"/>
      <c r="N14" s="66" t="str">
        <f t="shared" si="0"/>
        <v xml:space="preserve"> </v>
      </c>
      <c r="O14" s="68"/>
      <c r="P14" s="190" t="str">
        <f>IF(N27/O12&lt;=1.3,"Msy/Mry &gt; 1,3","Msy/Mry &lt; 1,3")</f>
        <v>Msy/Mry &gt; 1,3</v>
      </c>
    </row>
    <row r="15" spans="3:18" ht="17.25" thickTop="1" thickBot="1">
      <c r="C15" s="183" t="str">
        <f>Données!D22</f>
        <v xml:space="preserve"> </v>
      </c>
      <c r="D15" s="43" t="str">
        <f>IF(E15=" "," ",SUM(Données!$F$14:'Données'!F22))</f>
        <v xml:space="preserve"> </v>
      </c>
      <c r="E15" s="43" t="str">
        <f>IF(Données!F22=0," ",Données!J22+Données!L22)</f>
        <v xml:space="preserve"> </v>
      </c>
      <c r="F15" s="62"/>
      <c r="G15" s="61"/>
      <c r="H15" s="66" t="str">
        <f t="shared" si="1"/>
        <v xml:space="preserve"> </v>
      </c>
      <c r="I15" s="68"/>
      <c r="J15" s="62"/>
      <c r="K15" s="66" t="str">
        <f>IF(D15=" "," ",Données!K22+Données!M22)</f>
        <v xml:space="preserve"> </v>
      </c>
      <c r="L15" s="62"/>
      <c r="M15" s="61"/>
      <c r="N15" s="66" t="str">
        <f t="shared" si="0"/>
        <v xml:space="preserve"> </v>
      </c>
      <c r="O15" s="68"/>
      <c r="P15" s="62"/>
    </row>
    <row r="16" spans="3:18" ht="17.25" thickTop="1" thickBot="1">
      <c r="C16" s="183" t="str">
        <f>Données!D23</f>
        <v xml:space="preserve"> </v>
      </c>
      <c r="D16" s="43" t="str">
        <f>IF(E16=" "," ",SUM(Données!$F$14:'Données'!F23))</f>
        <v xml:space="preserve"> </v>
      </c>
      <c r="E16" s="43" t="str">
        <f>IF(Données!F23=0," ",Données!J23+Données!L23)</f>
        <v xml:space="preserve"> </v>
      </c>
      <c r="F16" s="62"/>
      <c r="G16" s="61"/>
      <c r="H16" s="66" t="str">
        <f t="shared" si="1"/>
        <v xml:space="preserve"> </v>
      </c>
      <c r="I16" s="68"/>
      <c r="J16" s="62"/>
      <c r="K16" s="66" t="str">
        <f>IF(D16=" "," ",Données!K23+Données!M23)</f>
        <v xml:space="preserve"> </v>
      </c>
      <c r="L16" s="62"/>
      <c r="M16" s="61"/>
      <c r="N16" s="66" t="str">
        <f t="shared" si="0"/>
        <v xml:space="preserve"> </v>
      </c>
      <c r="O16" s="68"/>
      <c r="P16" s="62"/>
    </row>
    <row r="17" spans="3:16" ht="17.25" thickTop="1" thickBot="1">
      <c r="C17" s="183" t="str">
        <f>Données!D24</f>
        <v xml:space="preserve"> </v>
      </c>
      <c r="D17" s="43" t="str">
        <f>IF(E17=" "," ",SUM(Données!$F$14:'Données'!F24))</f>
        <v xml:space="preserve"> </v>
      </c>
      <c r="E17" s="43" t="str">
        <f>IF(Données!F24=0," ",Données!J24+Données!L24)</f>
        <v xml:space="preserve"> </v>
      </c>
      <c r="F17" s="62"/>
      <c r="G17" s="61"/>
      <c r="H17" s="66" t="str">
        <f t="shared" si="1"/>
        <v xml:space="preserve"> </v>
      </c>
      <c r="I17" s="68"/>
      <c r="J17" s="62"/>
      <c r="K17" s="66" t="str">
        <f>IF(D17=" "," ",Données!K24+Données!M24)</f>
        <v xml:space="preserve"> </v>
      </c>
      <c r="L17" s="62"/>
      <c r="M17" s="61"/>
      <c r="N17" s="66" t="str">
        <f t="shared" si="0"/>
        <v xml:space="preserve"> </v>
      </c>
      <c r="O17" s="68"/>
      <c r="P17" s="62"/>
    </row>
    <row r="18" spans="3:16" ht="17.25" thickTop="1" thickBot="1">
      <c r="C18" s="183" t="str">
        <f>Données!D25</f>
        <v xml:space="preserve"> </v>
      </c>
      <c r="D18" s="43" t="str">
        <f>IF(E18=" "," ",SUM(Données!$F$14:'Données'!F25))</f>
        <v xml:space="preserve"> </v>
      </c>
      <c r="E18" s="43" t="str">
        <f>IF(Données!F25=0," ",Données!J25+Données!L25)</f>
        <v xml:space="preserve"> </v>
      </c>
      <c r="F18" s="62"/>
      <c r="G18" s="61"/>
      <c r="H18" s="66" t="str">
        <f t="shared" si="1"/>
        <v xml:space="preserve"> </v>
      </c>
      <c r="I18" s="68"/>
      <c r="J18" s="62"/>
      <c r="K18" s="66" t="str">
        <f>IF(D18=" "," ",Données!K25+Données!M25)</f>
        <v xml:space="preserve"> </v>
      </c>
      <c r="L18" s="62"/>
      <c r="M18" s="61"/>
      <c r="N18" s="66" t="str">
        <f t="shared" si="0"/>
        <v xml:space="preserve"> </v>
      </c>
      <c r="O18" s="68"/>
      <c r="P18" s="62"/>
    </row>
    <row r="19" spans="3:16" ht="17.25" thickTop="1" thickBot="1">
      <c r="C19" s="183" t="str">
        <f>Données!D26</f>
        <v xml:space="preserve"> </v>
      </c>
      <c r="D19" s="43" t="str">
        <f>IF(E19=" "," ",SUM(Données!$F$14:'Données'!F26))</f>
        <v xml:space="preserve"> </v>
      </c>
      <c r="E19" s="43" t="str">
        <f>IF(Données!F26=0," ",Données!J26+Données!L26)</f>
        <v xml:space="preserve"> </v>
      </c>
      <c r="F19" s="62"/>
      <c r="G19" s="61"/>
      <c r="H19" s="66" t="str">
        <f t="shared" si="1"/>
        <v xml:space="preserve"> </v>
      </c>
      <c r="I19" s="68"/>
      <c r="J19" s="62"/>
      <c r="K19" s="66" t="str">
        <f>IF(D19=" "," ",Données!K26+Données!M26)</f>
        <v xml:space="preserve"> </v>
      </c>
      <c r="L19" s="62"/>
      <c r="M19" s="61"/>
      <c r="N19" s="66" t="str">
        <f t="shared" si="0"/>
        <v xml:space="preserve"> </v>
      </c>
      <c r="O19" s="68"/>
      <c r="P19" s="62"/>
    </row>
    <row r="20" spans="3:16" ht="17.25" thickTop="1" thickBot="1">
      <c r="C20" s="183" t="str">
        <f>Données!D27</f>
        <v xml:space="preserve"> </v>
      </c>
      <c r="D20" s="43" t="str">
        <f>IF(E20=" "," ",SUM(Données!$F$14:'Données'!F27))</f>
        <v xml:space="preserve"> </v>
      </c>
      <c r="E20" s="43" t="str">
        <f>IF(Données!F27=0," ",Données!J27+Données!L27)</f>
        <v xml:space="preserve"> </v>
      </c>
      <c r="F20" s="62"/>
      <c r="G20" s="61"/>
      <c r="H20" s="66" t="str">
        <f t="shared" si="1"/>
        <v xml:space="preserve"> </v>
      </c>
      <c r="I20" s="68"/>
      <c r="J20" s="62"/>
      <c r="K20" s="66" t="str">
        <f>IF(D20=" "," ",Données!K27+Données!M27)</f>
        <v xml:space="preserve"> </v>
      </c>
      <c r="L20" s="62"/>
      <c r="M20" s="61"/>
      <c r="N20" s="66" t="str">
        <f t="shared" si="0"/>
        <v xml:space="preserve"> </v>
      </c>
      <c r="O20" s="68"/>
      <c r="P20" s="62"/>
    </row>
    <row r="21" spans="3:16" ht="17.25" thickTop="1" thickBot="1">
      <c r="C21" s="183" t="str">
        <f>Données!D28</f>
        <v xml:space="preserve"> </v>
      </c>
      <c r="D21" s="43" t="str">
        <f>IF(E21=" "," ",SUM(Données!$F$14:'Données'!F28))</f>
        <v xml:space="preserve"> </v>
      </c>
      <c r="E21" s="43" t="str">
        <f>IF(Données!F28=0," ",Données!J28+Données!L28)</f>
        <v xml:space="preserve"> </v>
      </c>
      <c r="F21" s="62"/>
      <c r="G21" s="61"/>
      <c r="H21" s="66" t="str">
        <f t="shared" si="1"/>
        <v xml:space="preserve"> </v>
      </c>
      <c r="I21" s="68"/>
      <c r="J21" s="62"/>
      <c r="K21" s="66" t="str">
        <f>IF(D21=" "," ",Données!K28+Données!M28)</f>
        <v xml:space="preserve"> </v>
      </c>
      <c r="L21" s="62"/>
      <c r="M21" s="61"/>
      <c r="N21" s="66" t="str">
        <f t="shared" si="0"/>
        <v xml:space="preserve"> </v>
      </c>
      <c r="O21" s="68"/>
      <c r="P21" s="62"/>
    </row>
    <row r="22" spans="3:16" ht="17.25" thickTop="1" thickBot="1">
      <c r="C22" s="183" t="str">
        <f>Données!D29</f>
        <v xml:space="preserve"> </v>
      </c>
      <c r="D22" s="43" t="str">
        <f>IF(E22=" "," ",SUM(Données!$F$14:'Données'!F29))</f>
        <v xml:space="preserve"> </v>
      </c>
      <c r="E22" s="43" t="str">
        <f>IF(Données!F29=0," ",Données!J29+Données!L29)</f>
        <v xml:space="preserve"> </v>
      </c>
      <c r="F22" s="62"/>
      <c r="G22" s="61"/>
      <c r="H22" s="66" t="str">
        <f t="shared" si="1"/>
        <v xml:space="preserve"> </v>
      </c>
      <c r="I22" s="68"/>
      <c r="J22" s="62"/>
      <c r="K22" s="66" t="str">
        <f>IF(D22=" "," ",Données!K29+Données!M29)</f>
        <v xml:space="preserve"> </v>
      </c>
      <c r="L22" s="62"/>
      <c r="M22" s="61"/>
      <c r="N22" s="66" t="str">
        <f t="shared" si="0"/>
        <v xml:space="preserve"> </v>
      </c>
      <c r="O22" s="68"/>
      <c r="P22" s="62"/>
    </row>
    <row r="23" spans="3:16" ht="17.25" thickTop="1" thickBot="1">
      <c r="C23" s="183" t="str">
        <f>Données!D30</f>
        <v xml:space="preserve"> </v>
      </c>
      <c r="D23" s="43" t="str">
        <f>IF(E23=" "," ",SUM(Données!$F$14:'Données'!F30))</f>
        <v xml:space="preserve"> </v>
      </c>
      <c r="E23" s="43" t="str">
        <f>IF(Données!F30=0," ",Données!J30+Données!L30)</f>
        <v xml:space="preserve"> </v>
      </c>
      <c r="F23" s="62"/>
      <c r="G23" s="61"/>
      <c r="H23" s="66" t="str">
        <f t="shared" si="1"/>
        <v xml:space="preserve"> </v>
      </c>
      <c r="I23" s="68"/>
      <c r="J23" s="62"/>
      <c r="K23" s="66" t="str">
        <f>IF(D23=" "," ",Données!K30+Données!M30)</f>
        <v xml:space="preserve"> </v>
      </c>
      <c r="L23" s="62"/>
      <c r="M23" s="61"/>
      <c r="N23" s="66" t="str">
        <f t="shared" si="0"/>
        <v xml:space="preserve"> </v>
      </c>
      <c r="O23" s="68"/>
      <c r="P23" s="62"/>
    </row>
    <row r="24" spans="3:16" ht="17.25" thickTop="1" thickBot="1">
      <c r="C24" s="183" t="str">
        <f>Données!D31</f>
        <v xml:space="preserve"> </v>
      </c>
      <c r="D24" s="43" t="str">
        <f>IF(E24=" "," ",SUM(Données!$F$14:'Données'!F31))</f>
        <v xml:space="preserve"> </v>
      </c>
      <c r="E24" s="43" t="str">
        <f>IF(Données!F31=0," ",Données!J31+Données!L31)</f>
        <v xml:space="preserve"> </v>
      </c>
      <c r="F24" s="62"/>
      <c r="G24" s="61"/>
      <c r="H24" s="66" t="str">
        <f t="shared" si="1"/>
        <v xml:space="preserve"> </v>
      </c>
      <c r="I24" s="68"/>
      <c r="J24" s="62"/>
      <c r="K24" s="66" t="str">
        <f>IF(D24=" "," ",Données!K31+Données!M31)</f>
        <v xml:space="preserve"> </v>
      </c>
      <c r="L24" s="62"/>
      <c r="M24" s="61"/>
      <c r="N24" s="66" t="str">
        <f t="shared" si="0"/>
        <v xml:space="preserve"> </v>
      </c>
      <c r="O24" s="68"/>
      <c r="P24" s="62"/>
    </row>
    <row r="25" spans="3:16" ht="17.25" thickTop="1" thickBot="1">
      <c r="C25" s="183" t="str">
        <f>Données!D32</f>
        <v xml:space="preserve"> </v>
      </c>
      <c r="D25" s="43" t="str">
        <f>IF(E25=" "," ",SUM(Données!$F$14:'Données'!F32))</f>
        <v xml:space="preserve"> </v>
      </c>
      <c r="E25" s="43" t="str">
        <f>IF(Données!F32=0," ",Données!J32+Données!L32)</f>
        <v xml:space="preserve"> </v>
      </c>
      <c r="F25" s="62"/>
      <c r="G25" s="61"/>
      <c r="H25" s="66" t="str">
        <f t="shared" si="1"/>
        <v xml:space="preserve"> </v>
      </c>
      <c r="I25" s="68"/>
      <c r="J25" s="62"/>
      <c r="K25" s="66" t="str">
        <f>IF(D25=" "," ",Données!K32+Données!M32)</f>
        <v xml:space="preserve"> </v>
      </c>
      <c r="L25" s="62"/>
      <c r="M25" s="61"/>
      <c r="N25" s="66" t="str">
        <f t="shared" si="0"/>
        <v xml:space="preserve"> </v>
      </c>
      <c r="O25" s="68"/>
      <c r="P25" s="62"/>
    </row>
    <row r="26" spans="3:16" ht="17.25" thickTop="1" thickBot="1">
      <c r="C26" s="183" t="str">
        <f>Données!D33</f>
        <v xml:space="preserve"> </v>
      </c>
      <c r="D26" s="43" t="str">
        <f>IF(E26=" "," ",SUM(Données!$F$14:'Données'!F33))</f>
        <v xml:space="preserve"> </v>
      </c>
      <c r="E26" s="43" t="str">
        <f>IF(Données!F33=0," ",Données!J33+Données!L33)</f>
        <v xml:space="preserve"> </v>
      </c>
      <c r="F26" s="65"/>
      <c r="G26" s="63"/>
      <c r="H26" s="66" t="str">
        <f t="shared" si="1"/>
        <v xml:space="preserve"> </v>
      </c>
      <c r="I26" s="69"/>
      <c r="J26" s="65"/>
      <c r="K26" s="66" t="str">
        <f>IF(D26=" "," ",Données!K33+Données!M33)</f>
        <v xml:space="preserve"> </v>
      </c>
      <c r="L26" s="65"/>
      <c r="M26" s="63"/>
      <c r="N26" s="66" t="str">
        <f t="shared" si="0"/>
        <v xml:space="preserve"> </v>
      </c>
      <c r="O26" s="69"/>
      <c r="P26" s="65"/>
    </row>
    <row r="27" spans="3:16" ht="17.25" thickTop="1" thickBot="1">
      <c r="F27" s="3"/>
      <c r="G27" s="198" t="s">
        <v>101</v>
      </c>
      <c r="H27" s="198">
        <f>SUM(H7:H26)</f>
        <v>4945.7250000000004</v>
      </c>
      <c r="L27" s="3"/>
      <c r="M27" s="198" t="s">
        <v>101</v>
      </c>
      <c r="N27" s="198">
        <f>SUM(N7:N26)</f>
        <v>5142.2687999999998</v>
      </c>
    </row>
    <row r="28" spans="3:16" ht="16.5" thickTop="1"/>
  </sheetData>
  <mergeCells count="3">
    <mergeCell ref="C2:P2"/>
    <mergeCell ref="E5:J5"/>
    <mergeCell ref="K5:P5"/>
  </mergeCells>
  <conditionalFormatting sqref="J7:J26">
    <cfRule type="cellIs" dxfId="13" priority="15" stopIfTrue="1" operator="equal">
      <formula>"C.N.V"</formula>
    </cfRule>
    <cfRule type="cellIs" dxfId="12" priority="16" stopIfTrue="1" operator="equal">
      <formula>$J$12</formula>
    </cfRule>
  </conditionalFormatting>
  <conditionalFormatting sqref="P12">
    <cfRule type="cellIs" dxfId="11" priority="11" stopIfTrue="1" operator="equal">
      <formula>"C.N.V"</formula>
    </cfRule>
    <cfRule type="cellIs" dxfId="10" priority="12" stopIfTrue="1" operator="equal">
      <formula>$P$12</formula>
    </cfRule>
  </conditionalFormatting>
  <conditionalFormatting sqref="J12:J14">
    <cfRule type="cellIs" dxfId="9" priority="10" operator="equal">
      <formula>"""OK"""</formula>
    </cfRule>
  </conditionalFormatting>
  <conditionalFormatting sqref="P13:P14">
    <cfRule type="cellIs" dxfId="8" priority="8" stopIfTrue="1" operator="equal">
      <formula>"C.N.V"</formula>
    </cfRule>
    <cfRule type="cellIs" dxfId="7" priority="9" stopIfTrue="1" operator="equal">
      <formula>$J$12</formula>
    </cfRule>
  </conditionalFormatting>
  <conditionalFormatting sqref="P13:P14">
    <cfRule type="cellIs" dxfId="6" priority="7" operator="equal">
      <formula>"""OK"""</formula>
    </cfRule>
  </conditionalFormatting>
  <conditionalFormatting sqref="P13">
    <cfRule type="cellIs" dxfId="5" priority="5" stopIfTrue="1" operator="equal">
      <formula>"C.N.V"</formula>
    </cfRule>
    <cfRule type="cellIs" dxfId="4" priority="6" stopIfTrue="1" operator="equal">
      <formula>$J$12</formula>
    </cfRule>
  </conditionalFormatting>
  <conditionalFormatting sqref="P13">
    <cfRule type="cellIs" dxfId="3" priority="4" operator="equal">
      <formula>"""OK"""</formula>
    </cfRule>
  </conditionalFormatting>
  <conditionalFormatting sqref="P14">
    <cfRule type="cellIs" dxfId="2" priority="2" stopIfTrue="1" operator="equal">
      <formula>"C.N.V"</formula>
    </cfRule>
    <cfRule type="cellIs" dxfId="1" priority="3" stopIfTrue="1" operator="equal">
      <formula>$J$12</formula>
    </cfRule>
  </conditionalFormatting>
  <conditionalFormatting sqref="P14">
    <cfRule type="cellIs" dxfId="0" priority="1" operator="equal">
      <formula>"""OK"""</formula>
    </cfRule>
  </conditionalFormatting>
  <pageMargins left="0.7" right="0.7" top="0.75" bottom="0.75" header="0.3" footer="0.3"/>
  <pageSetup paperSize="9" orientation="portrait" verticalDpi="0" r:id="rId1"/>
  <ignoredErrors>
    <ignoredError sqref="O12" 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>
    <tabColor rgb="FF002060"/>
  </sheetPr>
  <dimension ref="C1:Y28"/>
  <sheetViews>
    <sheetView showGridLines="0" workbookViewId="0">
      <selection activeCell="Q3" sqref="Q3"/>
    </sheetView>
  </sheetViews>
  <sheetFormatPr defaultColWidth="9.140625" defaultRowHeight="15.75"/>
  <cols>
    <col min="1" max="3" width="9.140625" style="1"/>
    <col min="4" max="4" width="9.7109375" style="1" customWidth="1"/>
    <col min="5" max="5" width="10.28515625" style="1" bestFit="1" customWidth="1"/>
    <col min="6" max="7" width="13.28515625" style="1" bestFit="1" customWidth="1"/>
    <col min="8" max="9" width="10.5703125" style="1" customWidth="1"/>
    <col min="10" max="10" width="13.28515625" style="1" customWidth="1"/>
    <col min="11" max="12" width="10.5703125" style="1" customWidth="1"/>
    <col min="13" max="13" width="13.28515625" style="1" bestFit="1" customWidth="1"/>
    <col min="14" max="16384" width="9.140625" style="1"/>
  </cols>
  <sheetData>
    <row r="1" spans="3:25" ht="16.5" thickBot="1"/>
    <row r="2" spans="3:25" ht="21" thickTop="1">
      <c r="C2" s="399" t="s">
        <v>228</v>
      </c>
      <c r="D2" s="400"/>
      <c r="E2" s="400"/>
      <c r="F2" s="400"/>
      <c r="G2" s="400"/>
      <c r="H2" s="400"/>
      <c r="I2" s="400"/>
      <c r="J2" s="400"/>
      <c r="K2" s="400"/>
      <c r="L2" s="400"/>
      <c r="M2" s="401"/>
    </row>
    <row r="3" spans="3:25" ht="16.5" thickBot="1">
      <c r="C3" s="46" t="s">
        <v>146</v>
      </c>
      <c r="D3" s="47"/>
      <c r="E3" s="48" t="str">
        <f>'CALCUL RPA'!$D$3</f>
        <v>Vers 1.5.1</v>
      </c>
      <c r="F3" s="48"/>
      <c r="G3" s="48"/>
      <c r="H3" s="49"/>
      <c r="I3" s="49"/>
      <c r="J3" s="50"/>
      <c r="K3" s="48"/>
      <c r="L3" s="47"/>
      <c r="M3" s="51"/>
    </row>
    <row r="4" spans="3:25" ht="17.25" thickTop="1" thickBot="1"/>
    <row r="5" spans="3:25" ht="20.25" thickTop="1" thickBot="1">
      <c r="C5" s="41"/>
      <c r="D5" s="41"/>
      <c r="E5" s="41"/>
      <c r="F5" s="152" t="s">
        <v>170</v>
      </c>
      <c r="G5" s="152" t="s">
        <v>171</v>
      </c>
      <c r="H5" s="402" t="s">
        <v>144</v>
      </c>
      <c r="I5" s="403"/>
      <c r="J5" s="403"/>
      <c r="K5" s="402" t="s">
        <v>145</v>
      </c>
      <c r="L5" s="403"/>
      <c r="M5" s="404"/>
      <c r="O5" s="204"/>
      <c r="P5" s="205"/>
      <c r="Q5" s="205"/>
      <c r="R5" s="205"/>
      <c r="S5" s="205"/>
      <c r="T5" s="205"/>
      <c r="U5" s="205"/>
      <c r="V5" s="205"/>
      <c r="W5" s="205"/>
      <c r="X5" s="205"/>
      <c r="Y5" s="206"/>
    </row>
    <row r="6" spans="3:25" ht="21" customHeight="1" thickTop="1" thickBot="1">
      <c r="C6" s="138" t="s">
        <v>81</v>
      </c>
      <c r="D6" s="138" t="s">
        <v>162</v>
      </c>
      <c r="E6" s="138" t="s">
        <v>163</v>
      </c>
      <c r="F6" s="138" t="s">
        <v>168</v>
      </c>
      <c r="G6" s="138" t="s">
        <v>169</v>
      </c>
      <c r="H6" s="138" t="s">
        <v>165</v>
      </c>
      <c r="I6" s="138" t="s">
        <v>164</v>
      </c>
      <c r="J6" s="138" t="s">
        <v>230</v>
      </c>
      <c r="K6" s="138" t="s">
        <v>166</v>
      </c>
      <c r="L6" s="138" t="s">
        <v>167</v>
      </c>
      <c r="M6" s="138" t="s">
        <v>229</v>
      </c>
      <c r="O6" s="207"/>
      <c r="P6" s="31"/>
      <c r="Q6" s="31"/>
      <c r="R6" s="31"/>
      <c r="S6" s="31"/>
      <c r="T6" s="31"/>
      <c r="U6" s="31"/>
      <c r="V6" s="31"/>
      <c r="W6" s="31"/>
      <c r="X6" s="31"/>
      <c r="Y6" s="208"/>
    </row>
    <row r="7" spans="3:25" ht="17.25" thickTop="1" thickBot="1">
      <c r="C7" s="183">
        <f>Données!D14</f>
        <v>1</v>
      </c>
      <c r="D7" s="225">
        <f>IF(Données!G14=0," ",Données!E14)</f>
        <v>5245.1399999999994</v>
      </c>
      <c r="E7" s="225">
        <f>IF(D7=" "," ",ABS(Données!G14))</f>
        <v>24870.639999999999</v>
      </c>
      <c r="F7" s="228">
        <f>IF(D7=" "," ",0.35*'CALCUL RPA'!$G$19*'CALCUL RPA'!$I$47*'CALCUL RPA'!$L$34*D7)</f>
        <v>128.50592999999998</v>
      </c>
      <c r="G7" s="228">
        <f>IF(D7=" "," ",0.7*'CALCUL RPA'!$G$19*'CALCUL RPA'!$I$47*'CALCUL RPA'!$L$34*D7)</f>
        <v>257.01185999999996</v>
      </c>
      <c r="H7" s="43">
        <f>IF(D7=" "," ",Données!J14+Données!L14)</f>
        <v>442.02</v>
      </c>
      <c r="I7" s="43">
        <f>IF(D7=" "," ",(H7*D7)/E7)</f>
        <v>93.220632151002135</v>
      </c>
      <c r="J7" s="227">
        <f>IF(D7=" "," ",MIN(MAX(F7,I7),G7))</f>
        <v>128.50592999999998</v>
      </c>
      <c r="K7" s="43">
        <f>IF(D7=" "," ",Données!K14+Données!M14)</f>
        <v>460.05</v>
      </c>
      <c r="L7" s="43">
        <f t="shared" ref="L7:L26" si="0">IF(D7=" "," ",(K7*D7)/E7)</f>
        <v>97.023102622208341</v>
      </c>
      <c r="M7" s="227">
        <f>IF(D7=" "," ",MIN(MAX(F7,L7),G7))</f>
        <v>128.50592999999998</v>
      </c>
      <c r="O7" s="207"/>
      <c r="P7" s="31"/>
      <c r="Q7" s="31"/>
      <c r="R7" s="31"/>
      <c r="S7" s="31"/>
      <c r="T7" s="31"/>
      <c r="U7" s="31"/>
      <c r="V7" s="31"/>
      <c r="W7" s="31"/>
      <c r="X7" s="31"/>
      <c r="Y7" s="208"/>
    </row>
    <row r="8" spans="3:25" ht="17.25" thickTop="1" thickBot="1">
      <c r="C8" s="183">
        <f>Données!D15</f>
        <v>2</v>
      </c>
      <c r="D8" s="225">
        <f>IF(Données!G15=0," ",Données!E15)</f>
        <v>5035.0499999999993</v>
      </c>
      <c r="E8" s="225">
        <f>IF(D8=" "," ",ABS(Données!G15))</f>
        <v>19625.5</v>
      </c>
      <c r="F8" s="228">
        <f>IF(D8=" "," ",0.35*'CALCUL RPA'!$G$19*'CALCUL RPA'!$I$47*'CALCUL RPA'!$L$34*D8)</f>
        <v>123.35872499999999</v>
      </c>
      <c r="G8" s="228">
        <f>IF(D8=" "," ",0.7*'CALCUL RPA'!$G$19*'CALCUL RPA'!$I$47*'CALCUL RPA'!$L$34*D8)</f>
        <v>246.71744999999999</v>
      </c>
      <c r="H8" s="43">
        <f>IF(D8=" "," ",Données!J15+Données!L15)</f>
        <v>402.15999999999997</v>
      </c>
      <c r="I8" s="43">
        <f t="shared" ref="I8:I26" si="1">IF(D8=" "," ",(H8*D8)/E8)</f>
        <v>103.17677042623116</v>
      </c>
      <c r="J8" s="227">
        <f t="shared" ref="J8:J26" si="2">IF(D8=" "," ",MIN(MAX(F8,I8),G8))</f>
        <v>123.35872499999999</v>
      </c>
      <c r="K8" s="43">
        <f>IF(D8=" "," ",Données!K15+Données!M15)</f>
        <v>418.77</v>
      </c>
      <c r="L8" s="43">
        <f t="shared" si="0"/>
        <v>107.43817423759901</v>
      </c>
      <c r="M8" s="227">
        <f t="shared" ref="M8:M26" si="3">IF(D8=" "," ",MIN(MAX(F8,L8),G8))</f>
        <v>123.35872499999999</v>
      </c>
      <c r="O8" s="207"/>
      <c r="P8" s="31"/>
      <c r="Q8" s="31"/>
      <c r="R8" s="31"/>
      <c r="S8" s="31"/>
      <c r="T8" s="31"/>
      <c r="U8" s="31"/>
      <c r="V8" s="31"/>
      <c r="W8" s="31"/>
      <c r="X8" s="31"/>
      <c r="Y8" s="208"/>
    </row>
    <row r="9" spans="3:25" ht="17.25" thickTop="1" thickBot="1">
      <c r="C9" s="183">
        <f>Données!D16</f>
        <v>3</v>
      </c>
      <c r="D9" s="225">
        <f>IF(Données!G16=0," ",Données!E16)</f>
        <v>5035.0500000000011</v>
      </c>
      <c r="E9" s="225">
        <f>IF(D9=" "," ",ABS(Données!G16))</f>
        <v>14590.45</v>
      </c>
      <c r="F9" s="228">
        <f>IF(D9=" "," ",0.35*'CALCUL RPA'!$G$19*'CALCUL RPA'!$I$47*'CALCUL RPA'!$L$34*D9)</f>
        <v>123.35872500000004</v>
      </c>
      <c r="G9" s="228">
        <f>IF(D9=" "," ",0.7*'CALCUL RPA'!$G$19*'CALCUL RPA'!$I$47*'CALCUL RPA'!$L$34*D9)</f>
        <v>246.71745000000007</v>
      </c>
      <c r="H9" s="43">
        <f>IF(D9=" "," ",Données!J16+Données!L16)</f>
        <v>340.11</v>
      </c>
      <c r="I9" s="43">
        <f t="shared" si="1"/>
        <v>117.36929673176635</v>
      </c>
      <c r="J9" s="227">
        <f t="shared" si="2"/>
        <v>123.35872500000004</v>
      </c>
      <c r="K9" s="43">
        <f>IF(D9=" "," ",Données!K16+Données!M16)</f>
        <v>354.58</v>
      </c>
      <c r="L9" s="43">
        <f t="shared" si="0"/>
        <v>122.36278038031728</v>
      </c>
      <c r="M9" s="227">
        <f t="shared" si="3"/>
        <v>123.35872500000004</v>
      </c>
      <c r="O9" s="207"/>
      <c r="P9" s="31"/>
      <c r="Q9" s="31"/>
      <c r="R9" s="31"/>
      <c r="S9" s="31"/>
      <c r="T9" s="31"/>
      <c r="U9" s="31"/>
      <c r="V9" s="31"/>
      <c r="W9" s="31"/>
      <c r="X9" s="31"/>
      <c r="Y9" s="208"/>
    </row>
    <row r="10" spans="3:25" ht="17.25" thickTop="1" thickBot="1">
      <c r="C10" s="183">
        <f>Données!D17</f>
        <v>4</v>
      </c>
      <c r="D10" s="225">
        <f>IF(Données!G17=0," ",Données!E17)</f>
        <v>5037.6499999999996</v>
      </c>
      <c r="E10" s="225">
        <f>IF(D10=" "," ",ABS(Données!G17))</f>
        <v>9555.4</v>
      </c>
      <c r="F10" s="228">
        <f>IF(D10=" "," ",0.35*'CALCUL RPA'!$G$19*'CALCUL RPA'!$I$47*'CALCUL RPA'!$L$34*D10)</f>
        <v>123.42242499999999</v>
      </c>
      <c r="G10" s="228">
        <f>IF(D10=" "," ",0.7*'CALCUL RPA'!$G$19*'CALCUL RPA'!$I$47*'CALCUL RPA'!$L$34*D10)</f>
        <v>246.84484999999998</v>
      </c>
      <c r="H10" s="43">
        <f>IF(D10=" "," ",Données!J17+Données!L17)</f>
        <v>265.89999999999998</v>
      </c>
      <c r="I10" s="43">
        <f t="shared" si="1"/>
        <v>140.18367990874268</v>
      </c>
      <c r="J10" s="227">
        <f t="shared" si="2"/>
        <v>140.18367990874268</v>
      </c>
      <c r="K10" s="43">
        <f>IF(D10=" "," ",Données!K17+Données!M17)</f>
        <v>276.36</v>
      </c>
      <c r="L10" s="43">
        <f t="shared" si="0"/>
        <v>145.69823911086925</v>
      </c>
      <c r="M10" s="227">
        <f t="shared" si="3"/>
        <v>145.69823911086925</v>
      </c>
      <c r="O10" s="207"/>
      <c r="P10" s="31"/>
      <c r="Q10" s="31"/>
      <c r="R10" s="31"/>
      <c r="S10" s="31"/>
      <c r="T10" s="31"/>
      <c r="U10" s="31"/>
      <c r="V10" s="31"/>
      <c r="W10" s="31"/>
      <c r="X10" s="31"/>
      <c r="Y10" s="208"/>
    </row>
    <row r="11" spans="3:25" ht="17.25" thickTop="1" thickBot="1">
      <c r="C11" s="183">
        <f>Données!D18</f>
        <v>5</v>
      </c>
      <c r="D11" s="225">
        <f>IF(Données!G18=0," ",Données!E18)</f>
        <v>4517.75</v>
      </c>
      <c r="E11" s="225">
        <f>IF(D11=" "," ",ABS(Données!G18))</f>
        <v>4517.75</v>
      </c>
      <c r="F11" s="228">
        <f>IF(D11=" "," ",0.35*'CALCUL RPA'!$G$19*'CALCUL RPA'!$I$47*'CALCUL RPA'!$L$34*D11)</f>
        <v>110.68487500000001</v>
      </c>
      <c r="G11" s="228">
        <f>IF(D11=" "," ",0.7*'CALCUL RPA'!$G$19*'CALCUL RPA'!$I$47*'CALCUL RPA'!$L$34*D11)</f>
        <v>221.36975000000001</v>
      </c>
      <c r="H11" s="43">
        <f>IF(D11=" "," ",Données!J18+Données!L18)</f>
        <v>166.06</v>
      </c>
      <c r="I11" s="43">
        <f t="shared" si="1"/>
        <v>166.06</v>
      </c>
      <c r="J11" s="227">
        <f t="shared" si="2"/>
        <v>166.06</v>
      </c>
      <c r="K11" s="43">
        <f>IF(D11=" "," ",Données!K18+Données!M18)</f>
        <v>170.72</v>
      </c>
      <c r="L11" s="43">
        <f t="shared" si="0"/>
        <v>170.72</v>
      </c>
      <c r="M11" s="227">
        <f t="shared" si="3"/>
        <v>170.72</v>
      </c>
      <c r="O11" s="207"/>
      <c r="P11" s="31"/>
      <c r="Q11" s="31"/>
      <c r="R11" s="31"/>
      <c r="S11" s="31"/>
      <c r="T11" s="31"/>
      <c r="U11" s="31"/>
      <c r="V11" s="31"/>
      <c r="W11" s="31"/>
      <c r="X11" s="31"/>
      <c r="Y11" s="208"/>
    </row>
    <row r="12" spans="3:25" ht="17.25" thickTop="1" thickBot="1">
      <c r="C12" s="183" t="str">
        <f>Données!D19</f>
        <v xml:space="preserve"> </v>
      </c>
      <c r="D12" s="225" t="str">
        <f>IF(Données!G19=0," ",Données!E19)</f>
        <v xml:space="preserve"> </v>
      </c>
      <c r="E12" s="225" t="str">
        <f>IF(D12=" "," ",ABS(Données!G19))</f>
        <v xml:space="preserve"> </v>
      </c>
      <c r="F12" s="228" t="str">
        <f>IF(D12=" "," ",0.35*'CALCUL RPA'!$G$19*'CALCUL RPA'!$I$47*'CALCUL RPA'!$L$34*D12)</f>
        <v xml:space="preserve"> </v>
      </c>
      <c r="G12" s="228" t="str">
        <f>IF(D12=" "," ",0.7*'CALCUL RPA'!$G$19*'CALCUL RPA'!$I$47*'CALCUL RPA'!$L$34*D12)</f>
        <v xml:space="preserve"> </v>
      </c>
      <c r="H12" s="43" t="str">
        <f>IF(D12=" "," ",Données!J19+Données!L19)</f>
        <v xml:space="preserve"> </v>
      </c>
      <c r="I12" s="43" t="str">
        <f t="shared" si="1"/>
        <v xml:space="preserve"> </v>
      </c>
      <c r="J12" s="227" t="str">
        <f t="shared" si="2"/>
        <v xml:space="preserve"> </v>
      </c>
      <c r="K12" s="43" t="str">
        <f>IF(D12=" "," ",Données!K19+Données!M19)</f>
        <v xml:space="preserve"> </v>
      </c>
      <c r="L12" s="43" t="str">
        <f t="shared" si="0"/>
        <v xml:space="preserve"> </v>
      </c>
      <c r="M12" s="227" t="str">
        <f t="shared" si="3"/>
        <v xml:space="preserve"> </v>
      </c>
      <c r="O12" s="207"/>
      <c r="P12" s="31"/>
      <c r="Q12" s="31"/>
      <c r="R12" s="31"/>
      <c r="S12" s="31"/>
      <c r="T12" s="31"/>
      <c r="U12" s="31"/>
      <c r="V12" s="31"/>
      <c r="W12" s="31"/>
      <c r="X12" s="31"/>
      <c r="Y12" s="208"/>
    </row>
    <row r="13" spans="3:25" ht="17.25" thickTop="1" thickBot="1">
      <c r="C13" s="183" t="str">
        <f>Données!D20</f>
        <v xml:space="preserve"> </v>
      </c>
      <c r="D13" s="225" t="str">
        <f>IF(Données!G20=0," ",Données!E20)</f>
        <v xml:space="preserve"> </v>
      </c>
      <c r="E13" s="225" t="str">
        <f>IF(D13=" "," ",ABS(Données!G20))</f>
        <v xml:space="preserve"> </v>
      </c>
      <c r="F13" s="228" t="str">
        <f>IF(D13=" "," ",0.35*'CALCUL RPA'!$G$19*'CALCUL RPA'!$I$47*'CALCUL RPA'!$L$34*D13)</f>
        <v xml:space="preserve"> </v>
      </c>
      <c r="G13" s="228" t="str">
        <f>IF(D13=" "," ",0.7*'CALCUL RPA'!$G$19*'CALCUL RPA'!$I$47*'CALCUL RPA'!$L$34*D13)</f>
        <v xml:space="preserve"> </v>
      </c>
      <c r="H13" s="43" t="str">
        <f>IF(D13=" "," ",Données!J20+Données!L20)</f>
        <v xml:space="preserve"> </v>
      </c>
      <c r="I13" s="43" t="str">
        <f t="shared" si="1"/>
        <v xml:space="preserve"> </v>
      </c>
      <c r="J13" s="227" t="str">
        <f t="shared" si="2"/>
        <v xml:space="preserve"> </v>
      </c>
      <c r="K13" s="43" t="str">
        <f>IF(D13=" "," ",Données!K20+Données!M20)</f>
        <v xml:space="preserve"> </v>
      </c>
      <c r="L13" s="43" t="str">
        <f t="shared" si="0"/>
        <v xml:space="preserve"> </v>
      </c>
      <c r="M13" s="227" t="str">
        <f t="shared" si="3"/>
        <v xml:space="preserve"> </v>
      </c>
      <c r="O13" s="207"/>
      <c r="P13" s="31"/>
      <c r="Q13" s="31"/>
      <c r="R13" s="31"/>
      <c r="S13" s="31"/>
      <c r="T13" s="31"/>
      <c r="U13" s="31"/>
      <c r="V13" s="31"/>
      <c r="W13" s="31"/>
      <c r="X13" s="31"/>
      <c r="Y13" s="208"/>
    </row>
    <row r="14" spans="3:25" ht="17.25" thickTop="1" thickBot="1">
      <c r="C14" s="183" t="str">
        <f>Données!D21</f>
        <v xml:space="preserve"> </v>
      </c>
      <c r="D14" s="225" t="str">
        <f>IF(Données!G21=0," ",Données!E21)</f>
        <v xml:space="preserve"> </v>
      </c>
      <c r="E14" s="225" t="str">
        <f>IF(D14=" "," ",ABS(Données!G21))</f>
        <v xml:space="preserve"> </v>
      </c>
      <c r="F14" s="228" t="str">
        <f>IF(D14=" "," ",0.35*'CALCUL RPA'!$G$19*'CALCUL RPA'!$I$47*'CALCUL RPA'!$L$34*D14)</f>
        <v xml:space="preserve"> </v>
      </c>
      <c r="G14" s="228" t="str">
        <f>IF(D14=" "," ",0.7*'CALCUL RPA'!$G$19*'CALCUL RPA'!$I$47*'CALCUL RPA'!$L$34*D14)</f>
        <v xml:space="preserve"> </v>
      </c>
      <c r="H14" s="43" t="str">
        <f>IF(D14=" "," ",Données!J21+Données!L21)</f>
        <v xml:space="preserve"> </v>
      </c>
      <c r="I14" s="43" t="str">
        <f t="shared" si="1"/>
        <v xml:space="preserve"> </v>
      </c>
      <c r="J14" s="227" t="str">
        <f t="shared" si="2"/>
        <v xml:space="preserve"> </v>
      </c>
      <c r="K14" s="43" t="str">
        <f>IF(D14=" "," ",Données!K21+Données!M21)</f>
        <v xml:space="preserve"> </v>
      </c>
      <c r="L14" s="43" t="str">
        <f t="shared" si="0"/>
        <v xml:space="preserve"> </v>
      </c>
      <c r="M14" s="227" t="str">
        <f t="shared" si="3"/>
        <v xml:space="preserve"> </v>
      </c>
      <c r="O14" s="207"/>
      <c r="P14" s="31"/>
      <c r="Q14" s="31"/>
      <c r="R14" s="31"/>
      <c r="S14" s="31"/>
      <c r="T14" s="31"/>
      <c r="U14" s="31"/>
      <c r="V14" s="31"/>
      <c r="W14" s="31"/>
      <c r="X14" s="31"/>
      <c r="Y14" s="208"/>
    </row>
    <row r="15" spans="3:25" ht="17.25" thickTop="1" thickBot="1">
      <c r="C15" s="183" t="str">
        <f>Données!D22</f>
        <v xml:space="preserve"> </v>
      </c>
      <c r="D15" s="225" t="str">
        <f>IF(Données!G22=0," ",Données!E22)</f>
        <v xml:space="preserve"> </v>
      </c>
      <c r="E15" s="225" t="str">
        <f>IF(D15=" "," ",ABS(Données!G22))</f>
        <v xml:space="preserve"> </v>
      </c>
      <c r="F15" s="228" t="str">
        <f>IF(D15=" "," ",0.35*'CALCUL RPA'!$G$19*'CALCUL RPA'!$I$47*'CALCUL RPA'!$L$34*D15)</f>
        <v xml:space="preserve"> </v>
      </c>
      <c r="G15" s="228" t="str">
        <f>IF(D15=" "," ",0.7*'CALCUL RPA'!$G$19*'CALCUL RPA'!$I$47*'CALCUL RPA'!$L$34*D15)</f>
        <v xml:space="preserve"> </v>
      </c>
      <c r="H15" s="43" t="str">
        <f>IF(D15=" "," ",Données!J22+Données!L22)</f>
        <v xml:space="preserve"> </v>
      </c>
      <c r="I15" s="43" t="str">
        <f t="shared" si="1"/>
        <v xml:space="preserve"> </v>
      </c>
      <c r="J15" s="227" t="str">
        <f t="shared" si="2"/>
        <v xml:space="preserve"> </v>
      </c>
      <c r="K15" s="43" t="str">
        <f>IF(D15=" "," ",Données!K22+Données!M22)</f>
        <v xml:space="preserve"> </v>
      </c>
      <c r="L15" s="43" t="str">
        <f t="shared" si="0"/>
        <v xml:space="preserve"> </v>
      </c>
      <c r="M15" s="227" t="str">
        <f t="shared" si="3"/>
        <v xml:space="preserve"> </v>
      </c>
      <c r="O15" s="207"/>
      <c r="P15" s="31"/>
      <c r="Q15" s="31"/>
      <c r="R15" s="31"/>
      <c r="S15" s="31"/>
      <c r="T15" s="31"/>
      <c r="U15" s="31"/>
      <c r="V15" s="31"/>
      <c r="W15" s="31"/>
      <c r="X15" s="31"/>
      <c r="Y15" s="208"/>
    </row>
    <row r="16" spans="3:25" ht="17.25" thickTop="1" thickBot="1">
      <c r="C16" s="183" t="str">
        <f>Données!D23</f>
        <v xml:space="preserve"> </v>
      </c>
      <c r="D16" s="225" t="str">
        <f>IF(Données!G23=0," ",Données!E23)</f>
        <v xml:space="preserve"> </v>
      </c>
      <c r="E16" s="225" t="str">
        <f>IF(D16=" "," ",ABS(Données!G23))</f>
        <v xml:space="preserve"> </v>
      </c>
      <c r="F16" s="228" t="str">
        <f>IF(D16=" "," ",0.35*'CALCUL RPA'!$G$19*'CALCUL RPA'!$I$47*'CALCUL RPA'!$L$34*D16)</f>
        <v xml:space="preserve"> </v>
      </c>
      <c r="G16" s="228" t="str">
        <f>IF(D16=" "," ",0.7*'CALCUL RPA'!$G$19*'CALCUL RPA'!$I$47*'CALCUL RPA'!$L$34*D16)</f>
        <v xml:space="preserve"> </v>
      </c>
      <c r="H16" s="43" t="str">
        <f>IF(D16=" "," ",Données!J23+Données!L23)</f>
        <v xml:space="preserve"> </v>
      </c>
      <c r="I16" s="43" t="str">
        <f t="shared" si="1"/>
        <v xml:space="preserve"> </v>
      </c>
      <c r="J16" s="227" t="str">
        <f t="shared" si="2"/>
        <v xml:space="preserve"> </v>
      </c>
      <c r="K16" s="43" t="str">
        <f>IF(D16=" "," ",Données!K23+Données!M23)</f>
        <v xml:space="preserve"> </v>
      </c>
      <c r="L16" s="43" t="str">
        <f t="shared" si="0"/>
        <v xml:space="preserve"> </v>
      </c>
      <c r="M16" s="227" t="str">
        <f t="shared" si="3"/>
        <v xml:space="preserve"> </v>
      </c>
      <c r="O16" s="207"/>
      <c r="P16" s="31"/>
      <c r="Q16" s="31"/>
      <c r="R16" s="31"/>
      <c r="S16" s="31"/>
      <c r="T16" s="31"/>
      <c r="U16" s="31"/>
      <c r="V16" s="31"/>
      <c r="W16" s="31"/>
      <c r="X16" s="31"/>
      <c r="Y16" s="208"/>
    </row>
    <row r="17" spans="3:25" ht="17.25" thickTop="1" thickBot="1">
      <c r="C17" s="183" t="str">
        <f>Données!D24</f>
        <v xml:space="preserve"> </v>
      </c>
      <c r="D17" s="225" t="str">
        <f>IF(Données!G24=0," ",Données!E24)</f>
        <v xml:space="preserve"> </v>
      </c>
      <c r="E17" s="225" t="str">
        <f>IF(D17=" "," ",ABS(Données!G24))</f>
        <v xml:space="preserve"> </v>
      </c>
      <c r="F17" s="228" t="str">
        <f>IF(D17=" "," ",0.35*'CALCUL RPA'!$G$19*'CALCUL RPA'!$I$47*'CALCUL RPA'!$L$34*D17)</f>
        <v xml:space="preserve"> </v>
      </c>
      <c r="G17" s="228" t="str">
        <f>IF(D17=" "," ",0.7*'CALCUL RPA'!$G$19*'CALCUL RPA'!$I$47*'CALCUL RPA'!$L$34*D17)</f>
        <v xml:space="preserve"> </v>
      </c>
      <c r="H17" s="43" t="str">
        <f>IF(D17=" "," ",Données!J24+Données!L24)</f>
        <v xml:space="preserve"> </v>
      </c>
      <c r="I17" s="43" t="str">
        <f t="shared" si="1"/>
        <v xml:space="preserve"> </v>
      </c>
      <c r="J17" s="227" t="str">
        <f t="shared" si="2"/>
        <v xml:space="preserve"> </v>
      </c>
      <c r="K17" s="43" t="str">
        <f>IF(D17=" "," ",Données!K24+Données!M24)</f>
        <v xml:space="preserve"> </v>
      </c>
      <c r="L17" s="43" t="str">
        <f t="shared" si="0"/>
        <v xml:space="preserve"> </v>
      </c>
      <c r="M17" s="227" t="str">
        <f t="shared" si="3"/>
        <v xml:space="preserve"> </v>
      </c>
      <c r="O17" s="207"/>
      <c r="P17" s="31"/>
      <c r="Q17" s="31"/>
      <c r="R17" s="31"/>
      <c r="S17" s="31"/>
      <c r="T17" s="31"/>
      <c r="U17" s="31"/>
      <c r="V17" s="31"/>
      <c r="W17" s="31"/>
      <c r="X17" s="31"/>
      <c r="Y17" s="208"/>
    </row>
    <row r="18" spans="3:25" ht="17.25" thickTop="1" thickBot="1">
      <c r="C18" s="183" t="str">
        <f>Données!D25</f>
        <v xml:space="preserve"> </v>
      </c>
      <c r="D18" s="225" t="str">
        <f>IF(Données!G25=0," ",Données!E25)</f>
        <v xml:space="preserve"> </v>
      </c>
      <c r="E18" s="225" t="str">
        <f>IF(D18=" "," ",ABS(Données!G25))</f>
        <v xml:space="preserve"> </v>
      </c>
      <c r="F18" s="228" t="str">
        <f>IF(D18=" "," ",0.35*'CALCUL RPA'!$G$19*'CALCUL RPA'!$I$47*'CALCUL RPA'!$L$34*D18)</f>
        <v xml:space="preserve"> </v>
      </c>
      <c r="G18" s="228" t="str">
        <f>IF(D18=" "," ",0.7*'CALCUL RPA'!$G$19*'CALCUL RPA'!$I$47*'CALCUL RPA'!$L$34*D18)</f>
        <v xml:space="preserve"> </v>
      </c>
      <c r="H18" s="43" t="str">
        <f>IF(D18=" "," ",Données!J25+Données!L25)</f>
        <v xml:space="preserve"> </v>
      </c>
      <c r="I18" s="43" t="str">
        <f t="shared" si="1"/>
        <v xml:space="preserve"> </v>
      </c>
      <c r="J18" s="227" t="str">
        <f t="shared" si="2"/>
        <v xml:space="preserve"> </v>
      </c>
      <c r="K18" s="43" t="str">
        <f>IF(D18=" "," ",Données!K25+Données!M25)</f>
        <v xml:space="preserve"> </v>
      </c>
      <c r="L18" s="43" t="str">
        <f t="shared" si="0"/>
        <v xml:space="preserve"> </v>
      </c>
      <c r="M18" s="227" t="str">
        <f t="shared" si="3"/>
        <v xml:space="preserve"> </v>
      </c>
      <c r="O18" s="207"/>
      <c r="P18" s="31"/>
      <c r="Q18" s="31"/>
      <c r="R18" s="31"/>
      <c r="S18" s="31"/>
      <c r="T18" s="31"/>
      <c r="U18" s="31"/>
      <c r="V18" s="31"/>
      <c r="W18" s="31"/>
      <c r="X18" s="31"/>
      <c r="Y18" s="208"/>
    </row>
    <row r="19" spans="3:25" ht="17.25" thickTop="1" thickBot="1">
      <c r="C19" s="183" t="str">
        <f>Données!D26</f>
        <v xml:space="preserve"> </v>
      </c>
      <c r="D19" s="225" t="str">
        <f>IF(Données!G26=0," ",Données!E26)</f>
        <v xml:space="preserve"> </v>
      </c>
      <c r="E19" s="225" t="str">
        <f>IF(D19=" "," ",ABS(Données!G26))</f>
        <v xml:space="preserve"> </v>
      </c>
      <c r="F19" s="228" t="str">
        <f>IF(D19=" "," ",0.35*'CALCUL RPA'!$G$19*'CALCUL RPA'!$I$47*'CALCUL RPA'!$L$34*D19)</f>
        <v xml:space="preserve"> </v>
      </c>
      <c r="G19" s="228" t="str">
        <f>IF(D19=" "," ",0.7*'CALCUL RPA'!$G$19*'CALCUL RPA'!$I$47*'CALCUL RPA'!$L$34*D19)</f>
        <v xml:space="preserve"> </v>
      </c>
      <c r="H19" s="43" t="str">
        <f>IF(D19=" "," ",Données!J26+Données!L26)</f>
        <v xml:space="preserve"> </v>
      </c>
      <c r="I19" s="43" t="str">
        <f t="shared" si="1"/>
        <v xml:space="preserve"> </v>
      </c>
      <c r="J19" s="227" t="str">
        <f t="shared" si="2"/>
        <v xml:space="preserve"> </v>
      </c>
      <c r="K19" s="43" t="str">
        <f>IF(D19=" "," ",Données!K26+Données!M26)</f>
        <v xml:space="preserve"> </v>
      </c>
      <c r="L19" s="43" t="str">
        <f t="shared" si="0"/>
        <v xml:space="preserve"> </v>
      </c>
      <c r="M19" s="227" t="str">
        <f t="shared" si="3"/>
        <v xml:space="preserve"> </v>
      </c>
      <c r="O19" s="207"/>
      <c r="P19" s="31"/>
      <c r="Q19" s="31"/>
      <c r="R19" s="31"/>
      <c r="S19" s="31"/>
      <c r="T19" s="31"/>
      <c r="U19" s="31"/>
      <c r="V19" s="31"/>
      <c r="W19" s="31"/>
      <c r="X19" s="31"/>
      <c r="Y19" s="208"/>
    </row>
    <row r="20" spans="3:25" ht="17.25" thickTop="1" thickBot="1">
      <c r="C20" s="183" t="str">
        <f>Données!D27</f>
        <v xml:space="preserve"> </v>
      </c>
      <c r="D20" s="225" t="str">
        <f>IF(Données!G27=0," ",Données!E27)</f>
        <v xml:space="preserve"> </v>
      </c>
      <c r="E20" s="225" t="str">
        <f>IF(D20=" "," ",ABS(Données!G27))</f>
        <v xml:space="preserve"> </v>
      </c>
      <c r="F20" s="228" t="str">
        <f>IF(D20=" "," ",0.35*'CALCUL RPA'!$G$19*'CALCUL RPA'!$I$47*'CALCUL RPA'!$L$34*D20)</f>
        <v xml:space="preserve"> </v>
      </c>
      <c r="G20" s="228" t="str">
        <f>IF(D20=" "," ",0.7*'CALCUL RPA'!$G$19*'CALCUL RPA'!$I$47*'CALCUL RPA'!$L$34*D20)</f>
        <v xml:space="preserve"> </v>
      </c>
      <c r="H20" s="43" t="str">
        <f>IF(D20=" "," ",Données!J27+Données!L27)</f>
        <v xml:space="preserve"> </v>
      </c>
      <c r="I20" s="43" t="str">
        <f t="shared" si="1"/>
        <v xml:space="preserve"> </v>
      </c>
      <c r="J20" s="227" t="str">
        <f t="shared" si="2"/>
        <v xml:space="preserve"> </v>
      </c>
      <c r="K20" s="43" t="str">
        <f>IF(D20=" "," ",Données!K27+Données!M27)</f>
        <v xml:space="preserve"> </v>
      </c>
      <c r="L20" s="43" t="str">
        <f t="shared" si="0"/>
        <v xml:space="preserve"> </v>
      </c>
      <c r="M20" s="227" t="str">
        <f t="shared" si="3"/>
        <v xml:space="preserve"> </v>
      </c>
      <c r="O20" s="207"/>
      <c r="P20" s="31"/>
      <c r="Q20" s="31"/>
      <c r="R20" s="31"/>
      <c r="S20" s="31"/>
      <c r="T20" s="31"/>
      <c r="U20" s="31"/>
      <c r="V20" s="31"/>
      <c r="W20" s="31"/>
      <c r="X20" s="31"/>
      <c r="Y20" s="208"/>
    </row>
    <row r="21" spans="3:25" ht="17.25" thickTop="1" thickBot="1">
      <c r="C21" s="183" t="str">
        <f>Données!D28</f>
        <v xml:space="preserve"> </v>
      </c>
      <c r="D21" s="225" t="str">
        <f>IF(Données!G28=0," ",Données!E28)</f>
        <v xml:space="preserve"> </v>
      </c>
      <c r="E21" s="225" t="str">
        <f>IF(D21=" "," ",ABS(Données!G28))</f>
        <v xml:space="preserve"> </v>
      </c>
      <c r="F21" s="228" t="str">
        <f>IF(D21=" "," ",0.35*'CALCUL RPA'!$G$19*'CALCUL RPA'!$I$47*'CALCUL RPA'!$L$34*D21)</f>
        <v xml:space="preserve"> </v>
      </c>
      <c r="G21" s="228" t="str">
        <f>IF(D21=" "," ",0.7*'CALCUL RPA'!$G$19*'CALCUL RPA'!$I$47*'CALCUL RPA'!$L$34*D21)</f>
        <v xml:space="preserve"> </v>
      </c>
      <c r="H21" s="43" t="str">
        <f>IF(D21=" "," ",Données!J28+Données!L28)</f>
        <v xml:space="preserve"> </v>
      </c>
      <c r="I21" s="43" t="str">
        <f t="shared" si="1"/>
        <v xml:space="preserve"> </v>
      </c>
      <c r="J21" s="227" t="str">
        <f t="shared" si="2"/>
        <v xml:space="preserve"> </v>
      </c>
      <c r="K21" s="43" t="str">
        <f>IF(D21=" "," ",Données!K28+Données!M28)</f>
        <v xml:space="preserve"> </v>
      </c>
      <c r="L21" s="43" t="str">
        <f t="shared" si="0"/>
        <v xml:space="preserve"> </v>
      </c>
      <c r="M21" s="227" t="str">
        <f t="shared" si="3"/>
        <v xml:space="preserve"> </v>
      </c>
      <c r="O21" s="207"/>
      <c r="P21" s="31"/>
      <c r="Q21" s="31"/>
      <c r="R21" s="31"/>
      <c r="S21" s="31"/>
      <c r="T21" s="31"/>
      <c r="U21" s="31"/>
      <c r="V21" s="31"/>
      <c r="W21" s="31"/>
      <c r="X21" s="31"/>
      <c r="Y21" s="208"/>
    </row>
    <row r="22" spans="3:25" ht="17.25" thickTop="1" thickBot="1">
      <c r="C22" s="183" t="str">
        <f>Données!D29</f>
        <v xml:space="preserve"> </v>
      </c>
      <c r="D22" s="225" t="str">
        <f>IF(Données!G29=0," ",Données!E29)</f>
        <v xml:space="preserve"> </v>
      </c>
      <c r="E22" s="225" t="str">
        <f>IF(D22=" "," ",ABS(Données!G29))</f>
        <v xml:space="preserve"> </v>
      </c>
      <c r="F22" s="228" t="str">
        <f>IF(D22=" "," ",0.35*'CALCUL RPA'!$G$19*'CALCUL RPA'!$I$47*'CALCUL RPA'!$L$34*D22)</f>
        <v xml:space="preserve"> </v>
      </c>
      <c r="G22" s="228" t="str">
        <f>IF(D22=" "," ",0.7*'CALCUL RPA'!$G$19*'CALCUL RPA'!$I$47*'CALCUL RPA'!$L$34*D22)</f>
        <v xml:space="preserve"> </v>
      </c>
      <c r="H22" s="43" t="str">
        <f>IF(D22=" "," ",Données!J29+Données!L29)</f>
        <v xml:space="preserve"> </v>
      </c>
      <c r="I22" s="43" t="str">
        <f t="shared" si="1"/>
        <v xml:space="preserve"> </v>
      </c>
      <c r="J22" s="227" t="str">
        <f t="shared" si="2"/>
        <v xml:space="preserve"> </v>
      </c>
      <c r="K22" s="43" t="str">
        <f>IF(D22=" "," ",Données!K29+Données!M29)</f>
        <v xml:space="preserve"> </v>
      </c>
      <c r="L22" s="43" t="str">
        <f t="shared" si="0"/>
        <v xml:space="preserve"> </v>
      </c>
      <c r="M22" s="227" t="str">
        <f t="shared" si="3"/>
        <v xml:space="preserve"> </v>
      </c>
      <c r="O22" s="207"/>
      <c r="P22" s="31"/>
      <c r="Q22" s="31"/>
      <c r="R22" s="31"/>
      <c r="S22" s="31"/>
      <c r="T22" s="31"/>
      <c r="U22" s="31"/>
      <c r="V22" s="31"/>
      <c r="W22" s="31"/>
      <c r="X22" s="31"/>
      <c r="Y22" s="208"/>
    </row>
    <row r="23" spans="3:25" ht="17.25" thickTop="1" thickBot="1">
      <c r="C23" s="183" t="str">
        <f>Données!D30</f>
        <v xml:space="preserve"> </v>
      </c>
      <c r="D23" s="225" t="str">
        <f>IF(Données!G30=0," ",Données!E30)</f>
        <v xml:space="preserve"> </v>
      </c>
      <c r="E23" s="225" t="str">
        <f>IF(D23=" "," ",ABS(Données!G30))</f>
        <v xml:space="preserve"> </v>
      </c>
      <c r="F23" s="228" t="str">
        <f>IF(D23=" "," ",0.35*'CALCUL RPA'!$G$19*'CALCUL RPA'!$I$47*'CALCUL RPA'!$L$34*D23)</f>
        <v xml:space="preserve"> </v>
      </c>
      <c r="G23" s="228" t="str">
        <f>IF(D23=" "," ",0.7*'CALCUL RPA'!$G$19*'CALCUL RPA'!$I$47*'CALCUL RPA'!$L$34*D23)</f>
        <v xml:space="preserve"> </v>
      </c>
      <c r="H23" s="43" t="str">
        <f>IF(D23=" "," ",Données!J30+Données!L30)</f>
        <v xml:space="preserve"> </v>
      </c>
      <c r="I23" s="43" t="str">
        <f t="shared" si="1"/>
        <v xml:space="preserve"> </v>
      </c>
      <c r="J23" s="227" t="str">
        <f t="shared" si="2"/>
        <v xml:space="preserve"> </v>
      </c>
      <c r="K23" s="43" t="str">
        <f>IF(D23=" "," ",Données!K30+Données!M30)</f>
        <v xml:space="preserve"> </v>
      </c>
      <c r="L23" s="43" t="str">
        <f t="shared" si="0"/>
        <v xml:space="preserve"> </v>
      </c>
      <c r="M23" s="227" t="str">
        <f t="shared" si="3"/>
        <v xml:space="preserve"> </v>
      </c>
      <c r="O23" s="209"/>
      <c r="P23" s="210"/>
      <c r="Q23" s="210"/>
      <c r="R23" s="210"/>
      <c r="S23" s="210"/>
      <c r="T23" s="210"/>
      <c r="U23" s="210"/>
      <c r="V23" s="210"/>
      <c r="W23" s="210"/>
      <c r="X23" s="210"/>
      <c r="Y23" s="211"/>
    </row>
    <row r="24" spans="3:25" ht="17.25" thickTop="1" thickBot="1">
      <c r="C24" s="183" t="str">
        <f>Données!D31</f>
        <v xml:space="preserve"> </v>
      </c>
      <c r="D24" s="225" t="str">
        <f>IF(Données!G31=0," ",Données!E31)</f>
        <v xml:space="preserve"> </v>
      </c>
      <c r="E24" s="225" t="str">
        <f>IF(D24=" "," ",ABS(Données!G31))</f>
        <v xml:space="preserve"> </v>
      </c>
      <c r="F24" s="228" t="str">
        <f>IF(D24=" "," ",0.35*'CALCUL RPA'!$G$19*'CALCUL RPA'!$I$47*'CALCUL RPA'!$L$34*D24)</f>
        <v xml:space="preserve"> </v>
      </c>
      <c r="G24" s="228" t="str">
        <f>IF(D24=" "," ",0.7*'CALCUL RPA'!$G$19*'CALCUL RPA'!$I$47*'CALCUL RPA'!$L$34*D24)</f>
        <v xml:space="preserve"> </v>
      </c>
      <c r="H24" s="43" t="str">
        <f>IF(D24=" "," ",Données!J31+Données!L31)</f>
        <v xml:space="preserve"> </v>
      </c>
      <c r="I24" s="43" t="str">
        <f t="shared" si="1"/>
        <v xml:space="preserve"> </v>
      </c>
      <c r="J24" s="227" t="str">
        <f t="shared" si="2"/>
        <v xml:space="preserve"> </v>
      </c>
      <c r="K24" s="43" t="str">
        <f>IF(D24=" "," ",Données!K31+Données!M31)</f>
        <v xml:space="preserve"> </v>
      </c>
      <c r="L24" s="43" t="str">
        <f t="shared" si="0"/>
        <v xml:space="preserve"> </v>
      </c>
      <c r="M24" s="227" t="str">
        <f t="shared" si="3"/>
        <v xml:space="preserve"> </v>
      </c>
    </row>
    <row r="25" spans="3:25" ht="17.25" thickTop="1" thickBot="1">
      <c r="C25" s="183" t="str">
        <f>Données!D32</f>
        <v xml:space="preserve"> </v>
      </c>
      <c r="D25" s="225" t="str">
        <f>IF(Données!G32=0," ",Données!E32)</f>
        <v xml:space="preserve"> </v>
      </c>
      <c r="E25" s="225" t="str">
        <f>IF(D25=" "," ",ABS(Données!G32))</f>
        <v xml:space="preserve"> </v>
      </c>
      <c r="F25" s="228" t="str">
        <f>IF(D25=" "," ",0.35*'CALCUL RPA'!$G$19*'CALCUL RPA'!$I$47*'CALCUL RPA'!$L$34*D25)</f>
        <v xml:space="preserve"> </v>
      </c>
      <c r="G25" s="228" t="str">
        <f>IF(D25=" "," ",0.7*'CALCUL RPA'!$G$19*'CALCUL RPA'!$I$47*'CALCUL RPA'!$L$34*D25)</f>
        <v xml:space="preserve"> </v>
      </c>
      <c r="H25" s="43" t="str">
        <f>IF(D25=" "," ",Données!J32+Données!L32)</f>
        <v xml:space="preserve"> </v>
      </c>
      <c r="I25" s="43" t="str">
        <f t="shared" si="1"/>
        <v xml:space="preserve"> </v>
      </c>
      <c r="J25" s="227" t="str">
        <f t="shared" si="2"/>
        <v xml:space="preserve"> </v>
      </c>
      <c r="K25" s="43" t="str">
        <f>IF(D25=" "," ",Données!K32+Données!M32)</f>
        <v xml:space="preserve"> </v>
      </c>
      <c r="L25" s="43" t="str">
        <f t="shared" si="0"/>
        <v xml:space="preserve"> </v>
      </c>
      <c r="M25" s="227" t="str">
        <f t="shared" si="3"/>
        <v xml:space="preserve"> </v>
      </c>
    </row>
    <row r="26" spans="3:25" ht="17.25" thickTop="1" thickBot="1">
      <c r="C26" s="183" t="str">
        <f>Données!D33</f>
        <v xml:space="preserve"> </v>
      </c>
      <c r="D26" s="225" t="str">
        <f>IF(Données!G33=0," ",Données!E33)</f>
        <v xml:space="preserve"> </v>
      </c>
      <c r="E26" s="225" t="str">
        <f>IF(D26=" "," ",ABS(Données!G33))</f>
        <v xml:space="preserve"> </v>
      </c>
      <c r="F26" s="228" t="str">
        <f>IF(D26=" "," ",0.35*'CALCUL RPA'!$G$19*'CALCUL RPA'!$I$47*'CALCUL RPA'!$L$34*D26)</f>
        <v xml:space="preserve"> </v>
      </c>
      <c r="G26" s="228" t="str">
        <f>IF(D26=" "," ",0.7*'CALCUL RPA'!$G$19*'CALCUL RPA'!$I$47*'CALCUL RPA'!$L$34*D26)</f>
        <v xml:space="preserve"> </v>
      </c>
      <c r="H26" s="43" t="str">
        <f>IF(D26=" "," ",Données!J33+Données!L33)</f>
        <v xml:space="preserve"> </v>
      </c>
      <c r="I26" s="43" t="str">
        <f t="shared" si="1"/>
        <v xml:space="preserve"> </v>
      </c>
      <c r="J26" s="227" t="str">
        <f t="shared" si="2"/>
        <v xml:space="preserve"> </v>
      </c>
      <c r="K26" s="43" t="str">
        <f>IF(D26=" "," ",Données!K33+Données!M33)</f>
        <v xml:space="preserve"> </v>
      </c>
      <c r="L26" s="43" t="str">
        <f t="shared" si="0"/>
        <v xml:space="preserve"> </v>
      </c>
      <c r="M26" s="227" t="str">
        <f t="shared" si="3"/>
        <v xml:space="preserve"> </v>
      </c>
    </row>
    <row r="27" spans="3:25" ht="16.5" thickTop="1">
      <c r="D27" s="3"/>
      <c r="J27" s="42"/>
      <c r="L27" s="42"/>
    </row>
    <row r="28" spans="3:25">
      <c r="J28" s="31"/>
      <c r="L28" s="31"/>
    </row>
  </sheetData>
  <mergeCells count="3">
    <mergeCell ref="C2:M2"/>
    <mergeCell ref="H5:J5"/>
    <mergeCell ref="K5:M5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>
    <tabColor rgb="FFFF0000"/>
  </sheetPr>
  <dimension ref="B1:M21"/>
  <sheetViews>
    <sheetView showGridLines="0" workbookViewId="0">
      <selection activeCell="B9" sqref="B9:K9"/>
    </sheetView>
  </sheetViews>
  <sheetFormatPr defaultColWidth="9.140625" defaultRowHeight="15"/>
  <cols>
    <col min="7" max="7" width="7.140625" customWidth="1"/>
  </cols>
  <sheetData>
    <row r="1" spans="2:13" ht="15.75" thickBot="1"/>
    <row r="2" spans="2:13" ht="24.75" customHeight="1" thickTop="1" thickBot="1">
      <c r="B2" s="420" t="s">
        <v>154</v>
      </c>
      <c r="C2" s="421"/>
      <c r="D2" s="421"/>
      <c r="E2" s="421"/>
      <c r="F2" s="421"/>
      <c r="G2" s="422"/>
      <c r="H2" s="413" t="s">
        <v>130</v>
      </c>
      <c r="I2" s="414"/>
      <c r="J2" s="414"/>
      <c r="K2" s="414"/>
    </row>
    <row r="3" spans="2:13" ht="24.75" customHeight="1" thickTop="1" thickBot="1">
      <c r="B3" s="423"/>
      <c r="C3" s="424"/>
      <c r="D3" s="424"/>
      <c r="E3" s="424"/>
      <c r="F3" s="424"/>
      <c r="G3" s="425"/>
      <c r="H3" s="413" t="s">
        <v>158</v>
      </c>
      <c r="I3" s="415"/>
      <c r="J3" s="415"/>
      <c r="K3" s="415"/>
    </row>
    <row r="4" spans="2:13" ht="15.75" thickTop="1"/>
    <row r="6" spans="2:13">
      <c r="B6" s="408" t="s">
        <v>155</v>
      </c>
      <c r="C6" s="409"/>
      <c r="D6" s="409"/>
    </row>
    <row r="7" spans="2:13">
      <c r="B7" s="416" t="s">
        <v>159</v>
      </c>
      <c r="C7" s="417"/>
      <c r="D7" s="417"/>
      <c r="E7" s="417"/>
      <c r="F7" s="417"/>
      <c r="G7" s="417"/>
      <c r="H7" s="417"/>
      <c r="I7" s="417"/>
      <c r="J7" s="417"/>
      <c r="K7" s="418"/>
    </row>
    <row r="8" spans="2:13">
      <c r="B8" s="419" t="s">
        <v>204</v>
      </c>
      <c r="C8" s="406"/>
      <c r="D8" s="406"/>
      <c r="E8" s="406"/>
      <c r="F8" s="406"/>
      <c r="G8" s="406"/>
      <c r="H8" s="406"/>
      <c r="I8" s="406"/>
      <c r="J8" s="406"/>
      <c r="K8" s="407"/>
    </row>
    <row r="9" spans="2:13" s="186" customFormat="1" ht="39.75" customHeight="1">
      <c r="B9" s="410" t="s">
        <v>219</v>
      </c>
      <c r="C9" s="411"/>
      <c r="D9" s="411"/>
      <c r="E9" s="411"/>
      <c r="F9" s="411"/>
      <c r="G9" s="411"/>
      <c r="H9" s="411"/>
      <c r="I9" s="411"/>
      <c r="J9" s="411"/>
      <c r="K9" s="412"/>
    </row>
    <row r="10" spans="2:13" s="186" customFormat="1" ht="33.75" customHeight="1">
      <c r="B10" s="410" t="s">
        <v>205</v>
      </c>
      <c r="C10" s="411"/>
      <c r="D10" s="411"/>
      <c r="E10" s="411"/>
      <c r="F10" s="411"/>
      <c r="G10" s="411"/>
      <c r="H10" s="411"/>
      <c r="I10" s="411"/>
      <c r="J10" s="411"/>
      <c r="K10" s="412"/>
    </row>
    <row r="11" spans="2:13" ht="33.75" customHeight="1">
      <c r="B11" s="410" t="s">
        <v>160</v>
      </c>
      <c r="C11" s="411"/>
      <c r="D11" s="411"/>
      <c r="E11" s="411"/>
      <c r="F11" s="411"/>
      <c r="G11" s="411"/>
      <c r="H11" s="411"/>
      <c r="I11" s="411"/>
      <c r="J11" s="411"/>
      <c r="K11" s="412"/>
    </row>
    <row r="12" spans="2:13">
      <c r="B12" s="405" t="s">
        <v>156</v>
      </c>
      <c r="C12" s="406"/>
      <c r="D12" s="406"/>
      <c r="E12" s="406"/>
      <c r="F12" s="406"/>
      <c r="G12" s="406"/>
      <c r="H12" s="406"/>
      <c r="I12" s="406"/>
      <c r="J12" s="406"/>
      <c r="K12" s="407"/>
    </row>
    <row r="16" spans="2:13">
      <c r="M16" s="186"/>
    </row>
    <row r="20" ht="26.25" customHeight="1"/>
    <row r="21" ht="26.25" customHeight="1"/>
  </sheetData>
  <mergeCells count="10">
    <mergeCell ref="B12:K12"/>
    <mergeCell ref="B6:D6"/>
    <mergeCell ref="B11:K11"/>
    <mergeCell ref="H2:K2"/>
    <mergeCell ref="H3:K3"/>
    <mergeCell ref="B7:K7"/>
    <mergeCell ref="B8:K8"/>
    <mergeCell ref="B2:G3"/>
    <mergeCell ref="B10:K10"/>
    <mergeCell ref="B9:K9"/>
  </mergeCells>
  <hyperlinks>
    <hyperlink ref="H2" r:id="rId1"/>
    <hyperlink ref="H3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SpectreH</vt:lpstr>
      <vt:lpstr>SpectreV</vt:lpstr>
      <vt:lpstr>Calcul1</vt:lpstr>
      <vt:lpstr>Données</vt:lpstr>
      <vt:lpstr>CALCUL RPA</vt:lpstr>
      <vt:lpstr>SPECTRE Hxy</vt:lpstr>
      <vt:lpstr>SPECTRE V</vt:lpstr>
      <vt:lpstr>EFFORT TRANCHANT</vt:lpstr>
      <vt:lpstr>DIAPHRAGME</vt:lpstr>
      <vt:lpstr>EFFET DE NOYAU</vt:lpstr>
      <vt:lpstr>DEPLACEMENT INTER ETAGE</vt:lpstr>
      <vt:lpstr>P-∆</vt:lpstr>
      <vt:lpstr>RENVERSEMENT</vt:lpstr>
      <vt:lpstr>RESISTANCE DES PLANCHERS</vt:lpstr>
      <vt:lpstr>About</vt:lpstr>
    </vt:vector>
  </TitlesOfParts>
  <Manager>Morsli hammou</Manager>
  <Company>Ing.MORSLI HAMMOU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VERIFICATION RPA 2024 Finale - (version 1.4.2) - ROBOT STRUCTURAL</dc:title>
  <dc:creator>hammou morsli</dc:creator>
  <cp:lastModifiedBy>Morsli Hammou</cp:lastModifiedBy>
  <cp:revision>17072025</cp:revision>
  <cp:lastPrinted>2022-09-23T12:50:18Z</cp:lastPrinted>
  <dcterms:created xsi:type="dcterms:W3CDTF">2022-09-23T07:35:01Z</dcterms:created>
  <dcterms:modified xsi:type="dcterms:W3CDTF">2026-06-04T22:34:46Z</dcterms:modified>
  <cp:version>Versio 1.4.2</cp:version>
</cp:coreProperties>
</file>