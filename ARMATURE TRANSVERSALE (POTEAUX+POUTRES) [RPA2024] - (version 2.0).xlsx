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xternalLinks/externalLink4.xml" ContentType="application/vnd.openxmlformats-officedocument.spreadsheetml.externalLink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390" yWindow="525" windowWidth="19815" windowHeight="7365" activeTab="1"/>
  </bookViews>
  <sheets>
    <sheet name="POTEAUX " sheetId="5" r:id="rId1"/>
    <sheet name="POUTRES" sheetId="4" r:id="rId2"/>
    <sheet name="About" sheetId="7" r:id="rId3"/>
    <sheet name="CALCUL" sheetId="3" state="hidden" r:id="rId4"/>
  </sheets>
  <externalReferences>
    <externalReference r:id="rId5"/>
    <externalReference r:id="rId6"/>
    <externalReference r:id="rId7"/>
    <externalReference r:id="rId8"/>
  </externalReferences>
  <definedNames>
    <definedName name="Ac">#REF!</definedName>
    <definedName name="Als">[1]Menu!$HQ$8</definedName>
    <definedName name="Ap">[1]Menu!$GN$13</definedName>
    <definedName name="As">#REF!</definedName>
    <definedName name="Ash">#REF!</definedName>
    <definedName name="Ashs">[1]Menu!$HQ$20</definedName>
    <definedName name="Astrs">[1]Menu!$HQ$13</definedName>
    <definedName name="Astsel">[1]Menu!$HQ$25</definedName>
    <definedName name="b">CALCUL!$C$70</definedName>
    <definedName name="bc">CALCUL!$C$29</definedName>
    <definedName name="Bw">[2]Sayfa1!$M$18</definedName>
    <definedName name="Co" comment="longueur des codes ">CALCUL!$C$27</definedName>
    <definedName name="cv">#REF!</definedName>
    <definedName name="d">CALCUL!$E$29</definedName>
    <definedName name="DIAM">CALCUL!$C$7:$C$8</definedName>
    <definedName name="DIAMETRE">CALCUL!$B$7:$B$8</definedName>
    <definedName name="disposition">"Picture 2,Picture 4"</definedName>
    <definedName name="dp">CALCUL!$E$70</definedName>
    <definedName name="Duct">#REF!</definedName>
    <definedName name="DynamicList">OFFSET([3]Enveloppe!$I$31,0,0,COUNTA([3]Enveloppe!$I$31:$I$60),1)</definedName>
    <definedName name="fc">#REF!</definedName>
    <definedName name="fVc">[1]Menu!$GJ$16</definedName>
    <definedName name="fy">#REF!</definedName>
    <definedName name="h">CALCUL!$D$70</definedName>
    <definedName name="hc">CALCUL!$D$29</definedName>
    <definedName name="Hcr">#REF!</definedName>
    <definedName name="hk">#REF!</definedName>
    <definedName name="Hu">[1]Menu!$EB$16</definedName>
    <definedName name="Hv">[2]Sayfa1!$M$16</definedName>
    <definedName name="k">#REF!</definedName>
    <definedName name="k1_">#REF!</definedName>
    <definedName name="k1dizi">#REF!</definedName>
    <definedName name="k2_">#REF!</definedName>
    <definedName name="L">[1]Menu!$KZ$19</definedName>
    <definedName name="Lcl">CALCUL!$F$27</definedName>
    <definedName name="Lcr">CALCUL!$D$27</definedName>
    <definedName name="lcrp">CALCUL!$H$70</definedName>
    <definedName name="liste">[4]Feuil4!$B$3:$B$4</definedName>
    <definedName name="Lrec">CALCUL!$E$27</definedName>
    <definedName name="Lrp">CALCUL!$B$70</definedName>
    <definedName name="Lu">#REF!</definedName>
    <definedName name="Lucr">#REF!</definedName>
    <definedName name="Lw">[2]Sayfa1!$M$17</definedName>
    <definedName name="m">#REF!</definedName>
    <definedName name="m_x">#REF!</definedName>
    <definedName name="m_y">#REF!</definedName>
    <definedName name="mmin">#REF!</definedName>
    <definedName name="Mu">[1]Menu!$EB$22</definedName>
    <definedName name="Mx">[2]Sayfa1!$AQ$26</definedName>
    <definedName name="Mxd">#REF!</definedName>
    <definedName name="My">[2]Sayfa1!$AQ$27</definedName>
    <definedName name="Myd">#REF!</definedName>
    <definedName name="n">#REF!</definedName>
    <definedName name="Nd">[2]Sayfa1!$AQ$23</definedName>
    <definedName name="Ndmax">[1]Menu!$GN$10</definedName>
    <definedName name="pic">"Picture 2,Picture 4"</definedName>
    <definedName name="Ppull">[1]Menu!$IR$16</definedName>
    <definedName name="Qa">[1]Menu!$FL$10</definedName>
    <definedName name="qusf">[1]Menu!$FG$29</definedName>
    <definedName name="S">CALCUL!$F$70</definedName>
    <definedName name="setmax">[1]Menu!$FL$18</definedName>
    <definedName name="Sp">CALCUL!$G$70</definedName>
    <definedName name="step1">#REF!</definedName>
    <definedName name="step2">#REF!</definedName>
    <definedName name="step3">#REF!</definedName>
    <definedName name="step4">#REF!</definedName>
    <definedName name="step5">#REF!</definedName>
    <definedName name="t">CALCUL!$G$27</definedName>
    <definedName name="tc">CALCUL!$H$27</definedName>
    <definedName name="Vd">#REF!</definedName>
    <definedName name="Ve">#REF!</definedName>
    <definedName name="Vr">#REF!</definedName>
    <definedName name="VrVe">#REF!</definedName>
    <definedName name="Vx">[2]Sayfa1!$AQ$24</definedName>
    <definedName name="Vy">[2]Sayfa1!$AQ$25</definedName>
    <definedName name="Yu">[1]Menu!$EB$30</definedName>
    <definedName name="α">#REF!</definedName>
    <definedName name="μ">#REF!</definedName>
  </definedNames>
  <calcPr calcId="125725"/>
  <extLst>
    <ext uri="GoogleSheetsCustomDataVersion2">
      <go:sheetsCustomData xmlns:go="http://customooxmlschemas.google.com/" r:id="rId10" roundtripDataChecksum="5uy6bLuBlIFYil+ZlmO2W9AK4LE2OrQH6EaPVgQMU/8="/>
    </ext>
  </extLst>
</workbook>
</file>

<file path=xl/calcChain.xml><?xml version="1.0" encoding="utf-8"?>
<calcChain xmlns="http://schemas.openxmlformats.org/spreadsheetml/2006/main">
  <c r="D24" i="4"/>
  <c r="H9" i="5"/>
  <c r="D27" i="3"/>
  <c r="C3" i="4"/>
  <c r="E3" i="5"/>
  <c r="N19" i="4"/>
  <c r="N17"/>
  <c r="N15"/>
  <c r="N14"/>
  <c r="N16" s="1"/>
  <c r="L13"/>
  <c r="N22" l="1"/>
  <c r="N21"/>
  <c r="N18"/>
  <c r="N20" s="1"/>
  <c r="B70" i="3"/>
  <c r="E70"/>
  <c r="H70"/>
  <c r="G70"/>
  <c r="F70"/>
  <c r="D70"/>
  <c r="C70"/>
  <c r="F6"/>
  <c r="E29" s="1"/>
  <c r="G27"/>
  <c r="H27"/>
  <c r="C27"/>
  <c r="I6" i="4" l="1"/>
  <c r="B59" i="3" s="1"/>
  <c r="G16" i="4" s="1"/>
  <c r="C59" i="3"/>
  <c r="H16" i="4" s="1"/>
  <c r="D67" i="3"/>
  <c r="H22" i="4" s="1"/>
  <c r="B63" i="3"/>
  <c r="C55"/>
  <c r="B55" l="1"/>
  <c r="G13" i="4" s="1"/>
  <c r="B67" i="3"/>
  <c r="C67" s="1"/>
  <c r="G22" i="4" s="1"/>
  <c r="I22" s="1"/>
  <c r="C63" i="3"/>
  <c r="H19" i="4" s="1"/>
  <c r="I16"/>
  <c r="H13"/>
  <c r="G19"/>
  <c r="D59" i="3"/>
  <c r="D63" l="1"/>
  <c r="I13" i="4"/>
  <c r="D55" i="3"/>
  <c r="I19" i="4"/>
  <c r="E67" i="3"/>
  <c r="C37"/>
  <c r="B14" i="4"/>
  <c r="D47" i="3"/>
  <c r="D44"/>
  <c r="C44"/>
  <c r="D39"/>
  <c r="C47" s="1"/>
  <c r="D37"/>
  <c r="C14" i="4"/>
  <c r="C39" i="3" s="1"/>
  <c r="C46" s="1"/>
  <c r="G31" i="5"/>
  <c r="E31"/>
  <c r="E32" s="1"/>
  <c r="E16"/>
  <c r="C13" i="3"/>
  <c r="D13"/>
  <c r="D12"/>
  <c r="C12"/>
  <c r="F8"/>
  <c r="E8"/>
  <c r="D8"/>
  <c r="C8"/>
  <c r="B8"/>
  <c r="E27" s="1"/>
  <c r="E6"/>
  <c r="D6"/>
  <c r="D29" s="1"/>
  <c r="C6"/>
  <c r="C29" s="1"/>
  <c r="B6"/>
  <c r="F27" l="1"/>
  <c r="C16"/>
  <c r="C42"/>
  <c r="C17"/>
  <c r="G32" i="5"/>
  <c r="G17" l="1"/>
  <c r="C21" i="3" a="1"/>
  <c r="C21" s="1"/>
  <c r="D42"/>
  <c r="C45" s="1"/>
  <c r="G45" s="1"/>
  <c r="D15" i="4" s="1"/>
  <c r="G28" i="5" l="1"/>
  <c r="G29" s="1"/>
  <c r="G30" s="1"/>
  <c r="G33" s="1"/>
  <c r="D46" i="3"/>
  <c r="D45"/>
  <c r="H45" l="1"/>
  <c r="D16" i="4" s="1"/>
  <c r="B19" s="1"/>
  <c r="H12" i="3"/>
  <c r="F20" i="5" s="1"/>
  <c r="G12" i="3"/>
  <c r="F19" i="5" s="1"/>
  <c r="B20" i="4" l="1"/>
  <c r="C20" i="3" a="1"/>
  <c r="C20" s="1"/>
  <c r="D20" s="1"/>
  <c r="D16"/>
  <c r="E16" s="1"/>
  <c r="F17" i="5"/>
  <c r="D17" i="3"/>
  <c r="E17" s="1"/>
  <c r="D21"/>
  <c r="G20" l="1"/>
  <c r="E28" i="5"/>
  <c r="E29" s="1"/>
  <c r="E30" s="1"/>
  <c r="E33" s="1"/>
  <c r="G18"/>
  <c r="F18"/>
  <c r="D16" l="1"/>
  <c r="D23" l="1"/>
  <c r="D24"/>
</calcChain>
</file>

<file path=xl/comments1.xml><?xml version="1.0" encoding="utf-8"?>
<comments xmlns="http://schemas.openxmlformats.org/spreadsheetml/2006/main">
  <authors>
    <author>Morsli</author>
  </authors>
  <commentList>
    <comment ref="D8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Fe :</t>
        </r>
        <r>
          <rPr>
            <sz val="9"/>
            <color indexed="81"/>
            <rFont val="Tahoma"/>
            <family val="2"/>
          </rPr>
          <t xml:space="preserve"> Limite d'élasticité de l'acier</t>
        </r>
      </text>
    </comment>
    <comment ref="D9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Fc28 : </t>
        </r>
        <r>
          <rPr>
            <sz val="9"/>
            <color indexed="81"/>
            <rFont val="Tahoma"/>
            <family val="2"/>
          </rPr>
          <t>Résistance à la compression à 28jours</t>
        </r>
      </text>
    </comment>
    <comment ref="D10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Фlmin</t>
        </r>
        <r>
          <rPr>
            <sz val="9"/>
            <color indexed="81"/>
            <rFont val="Tahoma"/>
            <family val="2"/>
          </rPr>
          <t>: Diamètre minimal des armatures longitudinales</t>
        </r>
      </text>
    </comment>
    <comment ref="D11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Lcl </t>
        </r>
        <r>
          <rPr>
            <sz val="9"/>
            <color indexed="81"/>
            <rFont val="Tahoma"/>
            <family val="2"/>
          </rPr>
          <t>: la longueur libre du poteau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hc,bc </t>
        </r>
        <r>
          <rPr>
            <sz val="9"/>
            <color indexed="81"/>
            <rFont val="Tahoma"/>
            <family val="2"/>
          </rPr>
          <t>:dimensions de la section droite du poteau, dans la direction de déformation considérée;</t>
        </r>
      </text>
    </comment>
    <comment ref="D13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d1;d2</t>
        </r>
        <r>
          <rPr>
            <sz val="9"/>
            <color indexed="81"/>
            <rFont val="Tahoma"/>
            <family val="2"/>
          </rPr>
          <t xml:space="preserve"> : L'enrobage</t>
        </r>
      </text>
    </comment>
    <comment ref="D14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Vu </t>
        </r>
        <r>
          <rPr>
            <sz val="9"/>
            <color indexed="81"/>
            <rFont val="Tahoma"/>
            <family val="2"/>
          </rPr>
          <t xml:space="preserve">: Effort tranchant maximal </t>
        </r>
      </text>
    </comment>
    <comment ref="D15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At</t>
        </r>
        <r>
          <rPr>
            <sz val="9"/>
            <color indexed="81"/>
            <rFont val="Tahoma"/>
            <family val="2"/>
          </rPr>
          <t>: section d’un cours d’armatures transversale en cm²</t>
        </r>
      </text>
    </comment>
    <comment ref="F15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Фt</t>
        </r>
        <r>
          <rPr>
            <sz val="9"/>
            <color indexed="81"/>
            <rFont val="Tahoma"/>
            <family val="2"/>
          </rPr>
          <t>: Diamètre minimal des armatures Transversales</t>
        </r>
      </text>
    </comment>
    <comment ref="G15" authorId="0">
      <text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Morsli</author>
    <author>Morsli Hammou</author>
    <author>MOHAMMED</author>
  </authors>
  <commentList>
    <comment ref="G5" authorId="0">
      <text/>
    </comment>
    <comment ref="L5" authorId="1">
      <text/>
    </comment>
    <comment ref="B6" authorId="0">
      <text/>
    </comment>
    <comment ref="G6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Vu</t>
        </r>
        <r>
          <rPr>
            <sz val="9"/>
            <color indexed="81"/>
            <rFont val="Tahoma"/>
            <family val="2"/>
          </rPr>
          <t xml:space="preserve"> : Effort tranchant maximal </t>
        </r>
      </text>
    </comment>
    <comment ref="L6" authorId="0">
      <text/>
    </comment>
    <comment ref="B7" authorId="0">
      <text/>
    </comment>
    <comment ref="B8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Fe</t>
        </r>
        <r>
          <rPr>
            <sz val="9"/>
            <color indexed="81"/>
            <rFont val="Tahoma"/>
            <family val="2"/>
          </rPr>
          <t xml:space="preserve"> : Limite d'élasticité de l'acier</t>
        </r>
      </text>
    </comment>
    <comment ref="L8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Fe</t>
        </r>
        <r>
          <rPr>
            <sz val="9"/>
            <color indexed="81"/>
            <rFont val="Tahoma"/>
            <family val="2"/>
          </rPr>
          <t xml:space="preserve"> : Limite d'élasticité de l'acier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Fc28</t>
        </r>
        <r>
          <rPr>
            <sz val="9"/>
            <color indexed="81"/>
            <rFont val="Tahoma"/>
            <family val="2"/>
          </rPr>
          <t xml:space="preserve"> : Résistance à la compression à 28jours</t>
        </r>
      </text>
    </comment>
    <comment ref="G9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a : largeur du poteau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Fc28</t>
        </r>
        <r>
          <rPr>
            <sz val="9"/>
            <color indexed="81"/>
            <rFont val="Tahoma"/>
            <family val="2"/>
          </rPr>
          <t xml:space="preserve"> : Résistance à la compression à 28jours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Фlmin</t>
        </r>
        <r>
          <rPr>
            <sz val="9"/>
            <color indexed="81"/>
            <rFont val="Tahoma"/>
            <family val="2"/>
          </rPr>
          <t xml:space="preserve">: Diamètre minimal des armatures longitudinales </t>
        </r>
      </text>
    </comment>
    <comment ref="G10" authorId="0">
      <text/>
    </comment>
    <comment ref="L10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Vu</t>
        </r>
        <r>
          <rPr>
            <sz val="9"/>
            <color indexed="81"/>
            <rFont val="Tahoma"/>
            <family val="2"/>
          </rPr>
          <t xml:space="preserve"> : Effort tranchant maximal </t>
        </r>
      </text>
    </comment>
    <comment ref="B11" authorId="2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Les armatures comprimées en dehors de la zone critique </t>
        </r>
      </text>
    </comment>
    <comment ref="G11" authorId="0">
      <text/>
    </comment>
    <comment ref="L11" authorId="0">
      <text>
        <r>
          <rPr>
            <b/>
            <sz val="9"/>
            <color indexed="81"/>
            <rFont val="Tahoma"/>
            <family val="2"/>
          </rPr>
          <t>Morsli:
Tu : Le moment de torsion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Vu</t>
        </r>
        <r>
          <rPr>
            <sz val="9"/>
            <color indexed="81"/>
            <rFont val="Tahoma"/>
            <family val="2"/>
          </rPr>
          <t xml:space="preserve"> : Effort tranchant maximal </t>
        </r>
      </text>
    </comment>
    <comment ref="N12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Фt</t>
        </r>
        <r>
          <rPr>
            <sz val="9"/>
            <color indexed="81"/>
            <rFont val="Tahoma"/>
            <family val="2"/>
          </rPr>
          <t>: Diamètre minimal des armatures transversales</t>
        </r>
      </text>
    </comment>
    <comment ref="O12" authorId="0">
      <text>
        <r>
          <rPr>
            <sz val="9"/>
            <color indexed="81"/>
            <rFont val="Tahoma"/>
            <family val="2"/>
          </rPr>
          <t xml:space="preserve"> 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8"/>
            <color indexed="81"/>
            <rFont val="Tahoma"/>
            <family val="2"/>
          </rPr>
          <t>t</t>
        </r>
        <r>
          <rPr>
            <sz val="9"/>
            <color indexed="81"/>
            <rFont val="Tahoma"/>
            <family val="2"/>
          </rPr>
          <t>: section d’un cours d’armatures transversale en cm²</t>
        </r>
      </text>
    </comment>
    <comment ref="D13" authorId="0">
      <text>
        <r>
          <rPr>
            <b/>
            <sz val="9"/>
            <color indexed="81"/>
            <rFont val="Tahoma"/>
            <family val="2"/>
          </rPr>
          <t>Morsli: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Фt</t>
        </r>
        <r>
          <rPr>
            <sz val="9"/>
            <color indexed="81"/>
            <rFont val="Tahoma"/>
            <family val="2"/>
          </rPr>
          <t>: Diamètre minimal des armatures transversales</t>
        </r>
      </text>
    </comment>
    <comment ref="E13" authorId="0">
      <text>
        <r>
          <rPr>
            <sz val="9"/>
            <color indexed="81"/>
            <rFont val="Tahoma"/>
            <family val="2"/>
          </rPr>
          <t xml:space="preserve"> </t>
        </r>
      </text>
    </comment>
    <comment ref="G14" authorId="0">
      <text/>
    </comment>
    <comment ref="L14" authorId="0">
      <text>
        <r>
          <rPr>
            <b/>
            <sz val="9"/>
            <color indexed="81"/>
            <rFont val="Tahoma"/>
            <family val="2"/>
          </rPr>
          <t>Morsli:
Epaisseur de la paroi au point considéré</t>
        </r>
      </text>
    </comment>
    <comment ref="L15" authorId="0">
      <text>
        <r>
          <rPr>
            <b/>
            <sz val="9"/>
            <color indexed="81"/>
            <rFont val="Tahoma"/>
            <family val="2"/>
          </rPr>
          <t>Morsli:
la surface délimitée par la fibre moyenne,</t>
        </r>
      </text>
    </comment>
    <comment ref="L16" authorId="1">
      <text>
        <r>
          <rPr>
            <b/>
            <sz val="9"/>
            <color indexed="81"/>
            <rFont val="Tahoma"/>
            <charset val="1"/>
          </rPr>
          <t>Morsli Hammou:</t>
        </r>
        <r>
          <rPr>
            <sz val="9"/>
            <color indexed="81"/>
            <rFont val="Tahoma"/>
            <charset val="1"/>
          </rPr>
          <t xml:space="preserve">
Le périmètre de la surface omega délimitée par la fibre moyenne,</t>
        </r>
      </text>
    </comment>
    <comment ref="G17" authorId="0">
      <text/>
    </comment>
    <comment ref="L17" authorId="1">
      <text>
        <r>
          <rPr>
            <b/>
            <sz val="9"/>
            <color indexed="81"/>
            <rFont val="Tahoma"/>
            <charset val="1"/>
          </rPr>
          <t>Morsli Hammou:</t>
        </r>
        <r>
          <rPr>
            <sz val="9"/>
            <color indexed="81"/>
            <rFont val="Tahoma"/>
            <charset val="1"/>
          </rPr>
          <t xml:space="preserve">
Les contraintes tangentes de l'effort tranchant</t>
        </r>
      </text>
    </comment>
    <comment ref="L18" authorId="1">
      <text>
        <r>
          <rPr>
            <b/>
            <sz val="9"/>
            <color indexed="81"/>
            <rFont val="Tahoma"/>
            <charset val="1"/>
          </rPr>
          <t>Morsli Hammou:</t>
        </r>
        <r>
          <rPr>
            <sz val="9"/>
            <color indexed="81"/>
            <rFont val="Tahoma"/>
            <charset val="1"/>
          </rPr>
          <t xml:space="preserve">
Les contraintes tangentes de torsion</t>
        </r>
      </text>
    </comment>
    <comment ref="L19" authorId="1">
      <text>
        <r>
          <rPr>
            <b/>
            <sz val="9"/>
            <color indexed="81"/>
            <rFont val="Tahoma"/>
            <charset val="1"/>
          </rPr>
          <t>Morsli Hammou:</t>
        </r>
        <r>
          <rPr>
            <sz val="9"/>
            <color indexed="81"/>
            <rFont val="Tahoma"/>
            <charset val="1"/>
          </rPr>
          <t xml:space="preserve">
Les contraintes limite</t>
        </r>
      </text>
    </comment>
    <comment ref="G20" authorId="0">
      <text/>
    </comment>
    <comment ref="L21" authorId="1">
      <text>
        <r>
          <rPr>
            <b/>
            <sz val="9"/>
            <color indexed="81"/>
            <rFont val="Tahoma"/>
            <charset val="1"/>
          </rPr>
          <t>Morsli Hammou:</t>
        </r>
        <r>
          <rPr>
            <sz val="9"/>
            <color indexed="81"/>
            <rFont val="Tahoma"/>
            <charset val="1"/>
          </rPr>
          <t xml:space="preserve">
Les armatures longitudinale</t>
        </r>
      </text>
    </comment>
    <comment ref="L22" authorId="1">
      <text>
        <r>
          <rPr>
            <b/>
            <sz val="9"/>
            <color indexed="81"/>
            <rFont val="Tahoma"/>
            <charset val="1"/>
          </rPr>
          <t>Morsli Hammou:</t>
        </r>
        <r>
          <rPr>
            <sz val="9"/>
            <color indexed="81"/>
            <rFont val="Tahoma"/>
            <charset val="1"/>
          </rPr>
          <t xml:space="preserve">
L'espacement pour les armatures transversales</t>
        </r>
      </text>
    </comment>
  </commentList>
</comments>
</file>

<file path=xl/comments3.xml><?xml version="1.0" encoding="utf-8"?>
<comments xmlns="http://schemas.openxmlformats.org/spreadsheetml/2006/main">
  <authors>
    <author>MOHAMMED</author>
  </authors>
  <commentList>
    <comment ref="B5" authorId="0">
      <text>
        <r>
          <rPr>
            <b/>
            <sz val="9"/>
            <color indexed="81"/>
            <rFont val="Tahoma"/>
            <family val="2"/>
          </rPr>
          <t>MOHAMMED:</t>
        </r>
        <r>
          <rPr>
            <sz val="9"/>
            <color indexed="81"/>
            <rFont val="Tahoma"/>
            <family val="2"/>
          </rPr>
          <t xml:space="preserve">
RPA2024 
ANNEXES A
ZONAGE SISMIQUE : WILAYAS &amp; COMMUNES</t>
        </r>
      </text>
    </comment>
    <comment ref="A46" authorId="0">
      <text>
        <r>
          <rPr>
            <b/>
            <sz val="9"/>
            <color indexed="81"/>
            <rFont val="Tahoma"/>
            <family val="2"/>
          </rPr>
          <t>MOHAMMED:</t>
        </r>
        <r>
          <rPr>
            <sz val="9"/>
            <color indexed="81"/>
            <rFont val="Tahoma"/>
            <family val="2"/>
          </rPr>
          <t xml:space="preserve">
la condition de non - fragilité</t>
        </r>
      </text>
    </comment>
  </commentList>
</comments>
</file>

<file path=xl/sharedStrings.xml><?xml version="1.0" encoding="utf-8"?>
<sst xmlns="http://schemas.openxmlformats.org/spreadsheetml/2006/main" count="206" uniqueCount="142">
  <si>
    <t>fe (Mpa)</t>
  </si>
  <si>
    <t>fc28 (Mpa)</t>
  </si>
  <si>
    <t>ZONE NODALE</t>
  </si>
  <si>
    <t>ZONE COURANTE</t>
  </si>
  <si>
    <t>Zone IV; V; VI</t>
  </si>
  <si>
    <t>Zone I; II; III</t>
  </si>
  <si>
    <t>St max</t>
  </si>
  <si>
    <t>Zone</t>
  </si>
  <si>
    <t xml:space="preserve">St max </t>
  </si>
  <si>
    <t>%</t>
  </si>
  <si>
    <t xml:space="preserve"> R.P.A 2024</t>
  </si>
  <si>
    <t>Vers 1.0</t>
  </si>
  <si>
    <t>ARMATURE TRANSVERSALE D'UNE POTEAUX [ BAEL91 + RPA2024]</t>
  </si>
  <si>
    <t xml:space="preserve">  R.P.A 2024</t>
  </si>
  <si>
    <t>ARMATURE TRANSVERSALE D'UNE POUTRE [ BAEL 91 mod. 99 + RPA2024]</t>
  </si>
  <si>
    <t>RPA2024</t>
  </si>
  <si>
    <t>(At*fe)/(b*0.4)</t>
  </si>
  <si>
    <t>BAEL</t>
  </si>
  <si>
    <t>(At*0.9*fe)/(b*γs*(τu-0.3*ft28 ) )</t>
  </si>
  <si>
    <t xml:space="preserve">min⁡(0,9*d , 40 cm)   </t>
  </si>
  <si>
    <t>St</t>
  </si>
  <si>
    <t>At calculé(cm2)</t>
  </si>
  <si>
    <t>ft28 (Mpa)</t>
  </si>
  <si>
    <t>τu (Mpa)</t>
  </si>
  <si>
    <t>CALCUL POTEAUX [ BAEL91 + RPA2024]</t>
  </si>
  <si>
    <t>CALCUL POUTRES [ BAEL91 + RPA2024]</t>
  </si>
  <si>
    <t>DIAMETRE DES BARRES</t>
  </si>
  <si>
    <t>Ø (cm)</t>
  </si>
  <si>
    <t>Fe (MPa)</t>
  </si>
  <si>
    <t>Zone sismique</t>
  </si>
  <si>
    <t>Fe (Mpa)</t>
  </si>
  <si>
    <t>Lcl (m)</t>
  </si>
  <si>
    <t xml:space="preserve">Sens </t>
  </si>
  <si>
    <t>Y - Y</t>
  </si>
  <si>
    <t>Z - Z</t>
  </si>
  <si>
    <t>At (cm²) Choisi</t>
  </si>
  <si>
    <r>
      <t>A</t>
    </r>
    <r>
      <rPr>
        <b/>
        <vertAlign val="subscript"/>
        <sz val="12"/>
        <color theme="7" tint="-0.499984740745262"/>
        <rFont val="Arial Narrow"/>
        <family val="2"/>
      </rPr>
      <t>t</t>
    </r>
    <r>
      <rPr>
        <b/>
        <sz val="12"/>
        <color theme="7" tint="-0.499984740745262"/>
        <rFont val="Arial Narrow"/>
        <family val="2"/>
      </rPr>
      <t xml:space="preserve"> min (cm²) </t>
    </r>
  </si>
  <si>
    <r>
      <t>N</t>
    </r>
    <r>
      <rPr>
        <b/>
        <vertAlign val="subscript"/>
        <sz val="12"/>
        <color theme="7" tint="-0.499984740745262"/>
        <rFont val="Arial Narrow"/>
        <family val="2"/>
      </rPr>
      <t>brins</t>
    </r>
  </si>
  <si>
    <r>
      <rPr>
        <b/>
        <sz val="12"/>
        <color theme="7" tint="-0.499984740745262"/>
        <rFont val="Eras Medium ITC"/>
        <family val="2"/>
      </rPr>
      <t>ø</t>
    </r>
    <r>
      <rPr>
        <b/>
        <vertAlign val="subscript"/>
        <sz val="12"/>
        <color theme="7" tint="-0.499984740745262"/>
        <rFont val="Arial Narrow"/>
        <family val="2"/>
      </rPr>
      <t>t</t>
    </r>
    <r>
      <rPr>
        <b/>
        <sz val="12"/>
        <color theme="7" tint="-0.499984740745262"/>
        <rFont val="Arial Narrow"/>
        <family val="2"/>
      </rPr>
      <t xml:space="preserve"> (cm) Choisi</t>
    </r>
  </si>
  <si>
    <t>St max (cm)</t>
  </si>
  <si>
    <t>Zone nodale</t>
  </si>
  <si>
    <t>Zone courante</t>
  </si>
  <si>
    <t>St choisi (cm)</t>
  </si>
  <si>
    <t>Vuz(KN)</t>
  </si>
  <si>
    <t>Vuy(KN)</t>
  </si>
  <si>
    <r>
      <t>F</t>
    </r>
    <r>
      <rPr>
        <b/>
        <vertAlign val="subscript"/>
        <sz val="12"/>
        <color rgb="FF0070C0"/>
        <rFont val="Arial Narrow"/>
        <family val="2"/>
      </rPr>
      <t>c28</t>
    </r>
    <r>
      <rPr>
        <b/>
        <sz val="12"/>
        <color rgb="FF0070C0"/>
        <rFont val="Arial Narrow"/>
        <family val="2"/>
      </rPr>
      <t xml:space="preserve"> (Mpa) </t>
    </r>
  </si>
  <si>
    <r>
      <t>Ф</t>
    </r>
    <r>
      <rPr>
        <b/>
        <vertAlign val="subscript"/>
        <sz val="12"/>
        <color rgb="FF0070C0"/>
        <rFont val="Arial Narrow"/>
        <family val="2"/>
      </rPr>
      <t>lmin</t>
    </r>
    <r>
      <rPr>
        <b/>
        <sz val="12"/>
        <color rgb="FF0070C0"/>
        <rFont val="Arial Narrow"/>
        <family val="2"/>
      </rPr>
      <t xml:space="preserve"> (cm)</t>
    </r>
  </si>
  <si>
    <r>
      <t>b</t>
    </r>
    <r>
      <rPr>
        <b/>
        <vertAlign val="subscript"/>
        <sz val="12"/>
        <color rgb="FF0070C0"/>
        <rFont val="Arial Narrow"/>
        <family val="2"/>
      </rPr>
      <t>c</t>
    </r>
    <r>
      <rPr>
        <b/>
        <sz val="12"/>
        <color rgb="FF0070C0"/>
        <rFont val="Arial Narrow"/>
        <family val="2"/>
      </rPr>
      <t xml:space="preserve"> (cm) ; h</t>
    </r>
    <r>
      <rPr>
        <b/>
        <vertAlign val="subscript"/>
        <sz val="12"/>
        <color rgb="FF0070C0"/>
        <rFont val="Arial Narrow"/>
        <family val="2"/>
      </rPr>
      <t>c</t>
    </r>
    <r>
      <rPr>
        <b/>
        <sz val="12"/>
        <color rgb="FF0070C0"/>
        <rFont val="Arial Narrow"/>
        <family val="2"/>
      </rPr>
      <t xml:space="preserve"> (cm)</t>
    </r>
  </si>
  <si>
    <r>
      <t>d</t>
    </r>
    <r>
      <rPr>
        <b/>
        <vertAlign val="subscript"/>
        <sz val="12"/>
        <color rgb="FF0070C0"/>
        <rFont val="Arial Narrow"/>
        <family val="2"/>
      </rPr>
      <t>1</t>
    </r>
    <r>
      <rPr>
        <b/>
        <sz val="12"/>
        <color rgb="FF0070C0"/>
        <rFont val="Arial Narrow"/>
        <family val="2"/>
      </rPr>
      <t>;d</t>
    </r>
    <r>
      <rPr>
        <b/>
        <vertAlign val="subscript"/>
        <sz val="12"/>
        <color rgb="FF0070C0"/>
        <rFont val="Arial Narrow"/>
        <family val="2"/>
      </rPr>
      <t xml:space="preserve">2  </t>
    </r>
    <r>
      <rPr>
        <b/>
        <sz val="12"/>
        <color rgb="FF0070C0"/>
        <rFont val="Arial Narrow"/>
        <family val="2"/>
      </rPr>
      <t>(cm)</t>
    </r>
  </si>
  <si>
    <r>
      <t>V</t>
    </r>
    <r>
      <rPr>
        <b/>
        <vertAlign val="subscript"/>
        <sz val="12"/>
        <color rgb="FF0070C0"/>
        <rFont val="Arial Narrow"/>
        <family val="2"/>
      </rPr>
      <t>U</t>
    </r>
    <r>
      <rPr>
        <b/>
        <sz val="12"/>
        <color rgb="FF0070C0"/>
        <rFont val="Arial Narrow"/>
        <family val="2"/>
      </rPr>
      <t xml:space="preserve"> (KN)</t>
    </r>
  </si>
  <si>
    <r>
      <t xml:space="preserve">λ </t>
    </r>
    <r>
      <rPr>
        <b/>
        <vertAlign val="subscript"/>
        <sz val="12"/>
        <color rgb="FF0070C0"/>
        <rFont val="Georgia"/>
        <family val="1"/>
      </rPr>
      <t>g</t>
    </r>
  </si>
  <si>
    <r>
      <rPr>
        <b/>
        <sz val="12"/>
        <color rgb="FF0070C0"/>
        <rFont val="Georgia"/>
        <family val="1"/>
      </rPr>
      <t>ρ</t>
    </r>
    <r>
      <rPr>
        <b/>
        <vertAlign val="subscript"/>
        <sz val="12"/>
        <color rgb="FF0070C0"/>
        <rFont val="Arial Narrow"/>
        <family val="2"/>
      </rPr>
      <t>a</t>
    </r>
  </si>
  <si>
    <t>Vérification des sollicitations tangentes</t>
  </si>
  <si>
    <t>Sens Y - Y</t>
  </si>
  <si>
    <t>Sens Z - Z</t>
  </si>
  <si>
    <t>ρd</t>
  </si>
  <si>
    <t xml:space="preserve"> </t>
  </si>
  <si>
    <r>
      <t>λ</t>
    </r>
    <r>
      <rPr>
        <b/>
        <vertAlign val="subscript"/>
        <sz val="12"/>
        <color rgb="FF0070C0"/>
        <rFont val="Cambria"/>
        <family val="1"/>
      </rPr>
      <t>g</t>
    </r>
  </si>
  <si>
    <r>
      <t>T</t>
    </r>
    <r>
      <rPr>
        <b/>
        <vertAlign val="subscript"/>
        <sz val="12"/>
        <color rgb="FF0070C0"/>
        <rFont val="Arial Narrow"/>
        <family val="2"/>
      </rPr>
      <t xml:space="preserve">y </t>
    </r>
    <r>
      <rPr>
        <b/>
        <sz val="12"/>
        <color rgb="FF0070C0"/>
        <rFont val="Arial Narrow"/>
        <family val="2"/>
      </rPr>
      <t>(KN)</t>
    </r>
  </si>
  <si>
    <r>
      <t>τ</t>
    </r>
    <r>
      <rPr>
        <b/>
        <vertAlign val="subscript"/>
        <sz val="12"/>
        <color rgb="FF0070C0"/>
        <rFont val="Cambria"/>
        <family val="1"/>
      </rPr>
      <t xml:space="preserve">bu </t>
    </r>
    <r>
      <rPr>
        <b/>
        <sz val="12"/>
        <color rgb="FF0070C0"/>
        <rFont val="Cambria"/>
        <family val="1"/>
      </rPr>
      <t>(Mpa)</t>
    </r>
  </si>
  <si>
    <r>
      <t>T</t>
    </r>
    <r>
      <rPr>
        <b/>
        <vertAlign val="subscript"/>
        <sz val="12"/>
        <color rgb="FF0070C0"/>
        <rFont val="Arial Narrow"/>
        <family val="2"/>
      </rPr>
      <t xml:space="preserve">z </t>
    </r>
    <r>
      <rPr>
        <b/>
        <sz val="12"/>
        <color rgb="FF0070C0"/>
        <rFont val="Arial Narrow"/>
        <family val="2"/>
      </rPr>
      <t>(KN)</t>
    </r>
  </si>
  <si>
    <r>
      <t>τ</t>
    </r>
    <r>
      <rPr>
        <b/>
        <vertAlign val="subscript"/>
        <sz val="12"/>
        <color rgb="FF0070C0"/>
        <rFont val="Cambria"/>
        <family val="1"/>
      </rPr>
      <t xml:space="preserve"> </t>
    </r>
    <r>
      <rPr>
        <b/>
        <sz val="12"/>
        <color rgb="FF0070C0"/>
        <rFont val="Cambria"/>
        <family val="1"/>
      </rPr>
      <t>(Mpa)</t>
    </r>
  </si>
  <si>
    <t>Condition</t>
  </si>
  <si>
    <t>Calcul éspacement &amp; diamètre des cadres</t>
  </si>
  <si>
    <r>
      <t>b</t>
    </r>
    <r>
      <rPr>
        <b/>
        <sz val="12"/>
        <color rgb="FF0070C0"/>
        <rFont val="Arial Narrow"/>
        <family val="2"/>
      </rPr>
      <t xml:space="preserve"> (cm) ; h</t>
    </r>
    <r>
      <rPr>
        <b/>
        <sz val="12"/>
        <color rgb="FF0070C0"/>
        <rFont val="Arial Narrow"/>
        <family val="2"/>
      </rPr>
      <t xml:space="preserve"> (cm)</t>
    </r>
  </si>
  <si>
    <t>Les armatures comprimées</t>
  </si>
  <si>
    <t>Non nécessaire</t>
  </si>
  <si>
    <t xml:space="preserve">Фt (cm) </t>
  </si>
  <si>
    <t>Si vous remarquez une erreur ou avez une remarque, n’hésitez pas à me contacter par e-mail ou sur mon compte Telegram.</t>
  </si>
  <si>
    <t>hammoutota@gmail.com</t>
  </si>
  <si>
    <t>https://t.me/MorsliHammou</t>
  </si>
  <si>
    <t xml:space="preserve">Vérification d'une poutre à l'éffort tranchant </t>
  </si>
  <si>
    <r>
      <t>b</t>
    </r>
    <r>
      <rPr>
        <b/>
        <sz val="9"/>
        <color rgb="FFFF0000"/>
        <rFont val="Calibri"/>
        <family val="2"/>
        <scheme val="minor"/>
      </rPr>
      <t>c</t>
    </r>
    <r>
      <rPr>
        <b/>
        <sz val="12"/>
        <color rgb="FFFF0000"/>
        <rFont val="Calibri"/>
        <family val="2"/>
        <scheme val="minor"/>
      </rPr>
      <t xml:space="preserve"> (cm)</t>
    </r>
  </si>
  <si>
    <r>
      <t>h</t>
    </r>
    <r>
      <rPr>
        <b/>
        <sz val="10"/>
        <color rgb="FFFF0000"/>
        <rFont val="Calibri"/>
        <family val="2"/>
        <scheme val="minor"/>
      </rPr>
      <t xml:space="preserve">c </t>
    </r>
    <r>
      <rPr>
        <b/>
        <sz val="12"/>
        <color rgb="FFFF0000"/>
        <rFont val="Calibri"/>
        <family val="2"/>
        <scheme val="minor"/>
      </rPr>
      <t>(cm)</t>
    </r>
  </si>
  <si>
    <r>
      <t>Ф</t>
    </r>
    <r>
      <rPr>
        <b/>
        <vertAlign val="subscript"/>
        <sz val="12"/>
        <color rgb="FFFF0000"/>
        <rFont val="Calibri"/>
        <family val="2"/>
        <scheme val="minor"/>
      </rPr>
      <t>lmin</t>
    </r>
    <r>
      <rPr>
        <b/>
        <sz val="12"/>
        <color rgb="FFFF0000"/>
        <rFont val="Calibri"/>
        <family val="2"/>
        <scheme val="minor"/>
      </rPr>
      <t>(cm)</t>
    </r>
  </si>
  <si>
    <r>
      <t>A</t>
    </r>
    <r>
      <rPr>
        <b/>
        <sz val="10"/>
        <color theme="1"/>
        <rFont val="Calibri"/>
        <family val="2"/>
        <scheme val="minor"/>
      </rPr>
      <t>t (cm²)</t>
    </r>
  </si>
  <si>
    <r>
      <t>Sens b</t>
    </r>
    <r>
      <rPr>
        <b/>
        <sz val="9"/>
        <color rgb="FFFF0000"/>
        <rFont val="Calibri"/>
        <family val="2"/>
        <scheme val="minor"/>
      </rPr>
      <t>c</t>
    </r>
    <r>
      <rPr>
        <b/>
        <sz val="12"/>
        <color rgb="FFFF0000"/>
        <rFont val="Calibri"/>
        <family val="2"/>
        <scheme val="minor"/>
      </rPr>
      <t xml:space="preserve"> </t>
    </r>
  </si>
  <si>
    <r>
      <t>Sens h</t>
    </r>
    <r>
      <rPr>
        <b/>
        <sz val="10"/>
        <color rgb="FFFF0000"/>
        <rFont val="Calibri"/>
        <family val="2"/>
        <scheme val="minor"/>
      </rPr>
      <t xml:space="preserve">c </t>
    </r>
  </si>
  <si>
    <r>
      <t>A</t>
    </r>
    <r>
      <rPr>
        <b/>
        <sz val="10"/>
        <color theme="1"/>
        <rFont val="Calibri"/>
        <family val="2"/>
        <scheme val="minor"/>
      </rPr>
      <t>t min (cm²)</t>
    </r>
  </si>
  <si>
    <r>
      <t>A</t>
    </r>
    <r>
      <rPr>
        <b/>
        <sz val="10"/>
        <color theme="1"/>
        <rFont val="Calibri"/>
        <family val="2"/>
        <scheme val="minor"/>
      </rPr>
      <t>t  (cm²) min</t>
    </r>
  </si>
  <si>
    <t>min⁡(h/4; 24Æt; 17.5 cm;6Æl ) | h/2</t>
  </si>
  <si>
    <t>Vérification de la contrainte tangente limite ultime</t>
  </si>
  <si>
    <t>Vérification</t>
  </si>
  <si>
    <t>Vérification de la contrainte de compression (bielle)</t>
  </si>
  <si>
    <t>Vérification des armatures inférieures d'appuis</t>
  </si>
  <si>
    <r>
      <t>As (cm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</si>
  <si>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 xml:space="preserve">Vérification de la contrainte moyenne de compréssion </t>
  </si>
  <si>
    <t>Ru (N)</t>
  </si>
  <si>
    <t>τu adm(Mpa)</t>
  </si>
  <si>
    <t>1,3 Fc28 /ϒb</t>
  </si>
  <si>
    <r>
      <t>Vu/(fe/ϒs) [cm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</si>
  <si>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a</t>
    </r>
    <r>
      <rPr>
        <b/>
        <vertAlign val="subscript"/>
        <sz val="12"/>
        <color rgb="FF0070C0"/>
        <rFont val="Arial Narrow"/>
        <family val="2"/>
      </rPr>
      <t xml:space="preserve">  </t>
    </r>
    <r>
      <rPr>
        <b/>
        <sz val="12"/>
        <color rgb="FF0070C0"/>
        <rFont val="Arial Narrow"/>
        <family val="2"/>
      </rPr>
      <t>(cm)</t>
    </r>
  </si>
  <si>
    <t>Fissuration</t>
  </si>
  <si>
    <t>Fissuration peu nuisible</t>
  </si>
  <si>
    <t>As (inférieure) (cm²)</t>
  </si>
  <si>
    <r>
      <t>σ</t>
    </r>
    <r>
      <rPr>
        <b/>
        <i/>
        <vertAlign val="subscript"/>
        <sz val="11"/>
        <color theme="1"/>
        <rFont val="Calibri"/>
        <family val="2"/>
        <scheme val="minor"/>
      </rPr>
      <t>mb</t>
    </r>
    <r>
      <rPr>
        <b/>
        <i/>
        <sz val="11"/>
        <color theme="1"/>
        <rFont val="Calibri"/>
        <family val="2"/>
        <scheme val="minor"/>
      </rPr>
      <t xml:space="preserve"> (MPa)</t>
    </r>
  </si>
  <si>
    <t>Vu (KN)</t>
  </si>
  <si>
    <t>0,267.b.a.fc28 (KN)</t>
  </si>
  <si>
    <t xml:space="preserve">Vérification de la contrainte de compression (bielle) </t>
  </si>
  <si>
    <t>Vérification de la contrainte moyenne de compression</t>
  </si>
  <si>
    <t>CALCUL ESPACEMENT &amp; DIAMETRE DES CADRES</t>
  </si>
  <si>
    <t>VERIFICATION D'UNE POUTRE A L'EFFORT TRANCHANT</t>
  </si>
  <si>
    <t>VERIFICATION</t>
  </si>
  <si>
    <t>Vu/(fe/ϒs) (cm2)</t>
  </si>
  <si>
    <r>
      <t>τ</t>
    </r>
    <r>
      <rPr>
        <b/>
        <vertAlign val="subscript"/>
        <sz val="11"/>
        <color rgb="FF0070C0"/>
        <rFont val="Calibri"/>
        <family val="2"/>
        <scheme val="minor"/>
      </rPr>
      <t xml:space="preserve">u </t>
    </r>
    <r>
      <rPr>
        <b/>
        <sz val="11"/>
        <color rgb="FF0070C0"/>
        <rFont val="Calibri"/>
        <family val="2"/>
        <scheme val="minor"/>
      </rPr>
      <t>(Mpa)</t>
    </r>
  </si>
  <si>
    <r>
      <t>As (cm</t>
    </r>
    <r>
      <rPr>
        <b/>
        <vertAlign val="superscript"/>
        <sz val="11"/>
        <color rgb="FF0070C0"/>
        <rFont val="Calibri"/>
        <family val="2"/>
        <scheme val="minor"/>
      </rPr>
      <t>2</t>
    </r>
    <r>
      <rPr>
        <b/>
        <sz val="11"/>
        <color rgb="FF0070C0"/>
        <rFont val="Calibri"/>
        <family val="2"/>
        <scheme val="minor"/>
      </rPr>
      <t>)</t>
    </r>
  </si>
  <si>
    <r>
      <t>σ</t>
    </r>
    <r>
      <rPr>
        <b/>
        <i/>
        <vertAlign val="subscript"/>
        <sz val="11"/>
        <color rgb="FF0070C0"/>
        <rFont val="Calibri"/>
        <family val="2"/>
        <scheme val="minor"/>
      </rPr>
      <t>mb</t>
    </r>
    <r>
      <rPr>
        <b/>
        <i/>
        <sz val="11"/>
        <color rgb="FF0070C0"/>
        <rFont val="Calibri"/>
        <family val="2"/>
        <scheme val="minor"/>
      </rPr>
      <t xml:space="preserve"> (MPa)</t>
    </r>
  </si>
  <si>
    <r>
      <t>τ</t>
    </r>
    <r>
      <rPr>
        <b/>
        <vertAlign val="subscript"/>
        <sz val="11"/>
        <color rgb="FF0070C0"/>
        <rFont val="Calibri"/>
        <family val="2"/>
        <scheme val="minor"/>
      </rPr>
      <t>uadm</t>
    </r>
    <r>
      <rPr>
        <b/>
        <sz val="11"/>
        <color rgb="FF0070C0"/>
        <rFont val="Calibri"/>
        <family val="2"/>
        <scheme val="minor"/>
      </rPr>
      <t xml:space="preserve"> (Mpa)</t>
    </r>
  </si>
  <si>
    <r>
      <t>V</t>
    </r>
    <r>
      <rPr>
        <b/>
        <vertAlign val="subscript"/>
        <sz val="11"/>
        <color rgb="FF0070C0"/>
        <rFont val="Calibri"/>
        <family val="2"/>
        <scheme val="minor"/>
      </rPr>
      <t>U</t>
    </r>
    <r>
      <rPr>
        <b/>
        <sz val="11"/>
        <color rgb="FF0070C0"/>
        <rFont val="Calibri"/>
        <family val="2"/>
        <scheme val="minor"/>
      </rPr>
      <t xml:space="preserve"> (KN)</t>
    </r>
  </si>
  <si>
    <r>
      <t>50</t>
    </r>
    <r>
      <rPr>
        <b/>
        <sz val="11"/>
        <color theme="1"/>
        <rFont val="Aparajita"/>
        <family val="2"/>
      </rPr>
      <t xml:space="preserve">Øl </t>
    </r>
    <r>
      <rPr>
        <b/>
        <sz val="11"/>
        <color theme="1"/>
        <rFont val="Calibri"/>
        <family val="2"/>
        <scheme val="minor"/>
      </rPr>
      <t>(cm)</t>
    </r>
  </si>
  <si>
    <t>Lcr (cm)</t>
  </si>
  <si>
    <t>Lrecouvrement (cm)</t>
  </si>
  <si>
    <t xml:space="preserve"> Lcl (cm)</t>
  </si>
  <si>
    <t>IV</t>
  </si>
  <si>
    <t xml:space="preserve"> t (cm)</t>
  </si>
  <si>
    <t xml:space="preserve"> t' (cm)</t>
  </si>
  <si>
    <t>d1;d2</t>
  </si>
  <si>
    <r>
      <t xml:space="preserve">
</t>
    </r>
    <r>
      <rPr>
        <sz val="12"/>
        <color theme="8" tint="-0.499984740745262"/>
        <rFont val="Arial Narrow"/>
        <family val="2"/>
      </rPr>
      <t xml:space="preserve">
</t>
    </r>
    <r>
      <rPr>
        <sz val="12"/>
        <color theme="8" tint="-0.499984740745262"/>
        <rFont val="Arial Narrow"/>
        <family val="2"/>
      </rPr>
      <t xml:space="preserve">
</t>
    </r>
    <r>
      <rPr>
        <sz val="12"/>
        <color theme="8" tint="-0.499984740745262"/>
        <rFont val="Arial Narrow"/>
        <family val="2"/>
      </rPr>
      <t xml:space="preserve">
</t>
    </r>
    <r>
      <rPr>
        <sz val="12"/>
        <color theme="8" tint="-0.499984740745262"/>
        <rFont val="Arial Narrow"/>
        <family val="2"/>
      </rPr>
      <t xml:space="preserve">
</t>
    </r>
    <r>
      <rPr>
        <sz val="12"/>
        <color theme="8" tint="-0.499984740745262"/>
        <rFont val="Arial Narrow"/>
        <family val="2"/>
      </rPr>
      <t xml:space="preserve">                                                 </t>
    </r>
  </si>
  <si>
    <t xml:space="preserve"> bc (cm)</t>
  </si>
  <si>
    <t xml:space="preserve"> hc (cm)</t>
  </si>
  <si>
    <t>d1;d2 (cm)</t>
  </si>
  <si>
    <t>CALCUL ÉSPACEMENT &amp; DIAMÈTRE DES CADRES</t>
  </si>
  <si>
    <t>S (cm)</t>
  </si>
  <si>
    <t>S' (cm)</t>
  </si>
  <si>
    <t>b (cm)</t>
  </si>
  <si>
    <t>h (cm)</t>
  </si>
  <si>
    <t>d (cm)</t>
  </si>
  <si>
    <t>l' (cm)</t>
  </si>
  <si>
    <r>
      <rPr>
        <b/>
        <sz val="11"/>
        <color theme="1"/>
        <rFont val="Calibri"/>
        <family val="2"/>
      </rPr>
      <t>λ</t>
    </r>
    <r>
      <rPr>
        <b/>
        <sz val="11"/>
        <color theme="1"/>
        <rFont val="Calibri"/>
        <family val="2"/>
        <scheme val="minor"/>
      </rPr>
      <t>g</t>
    </r>
  </si>
  <si>
    <r>
      <rPr>
        <b/>
        <sz val="12"/>
        <color theme="1"/>
        <rFont val="Calibri"/>
        <family val="2"/>
      </rPr>
      <t>ρ</t>
    </r>
    <r>
      <rPr>
        <b/>
        <sz val="12"/>
        <color theme="1"/>
        <rFont val="Calibri"/>
        <family val="2"/>
        <scheme val="minor"/>
      </rPr>
      <t>a</t>
    </r>
  </si>
  <si>
    <t>I</t>
  </si>
  <si>
    <t>VERIFICATIONS DE LA TORSION</t>
  </si>
  <si>
    <r>
      <t>T</t>
    </r>
    <r>
      <rPr>
        <b/>
        <vertAlign val="subscript"/>
        <sz val="12"/>
        <color rgb="FF0070C0"/>
        <rFont val="Arial Narrow"/>
        <family val="2"/>
      </rPr>
      <t>U</t>
    </r>
    <r>
      <rPr>
        <b/>
        <sz val="12"/>
        <color rgb="FF0070C0"/>
        <rFont val="Arial Narrow"/>
        <family val="2"/>
      </rPr>
      <t xml:space="preserve"> (KN.m)</t>
    </r>
  </si>
  <si>
    <t>e (cm)</t>
  </si>
  <si>
    <t>Ω (cm²)</t>
  </si>
  <si>
    <t>μ (cm)</t>
  </si>
  <si>
    <r>
      <rPr>
        <b/>
        <sz val="12"/>
        <color rgb="FF0070C0"/>
        <rFont val="Symbol"/>
        <family val="1"/>
        <charset val="2"/>
      </rPr>
      <t>t</t>
    </r>
    <r>
      <rPr>
        <b/>
        <vertAlign val="subscript"/>
        <sz val="12"/>
        <color rgb="FF0070C0"/>
        <rFont val="Calibri"/>
        <family val="2"/>
        <scheme val="minor"/>
      </rPr>
      <t>UT</t>
    </r>
    <r>
      <rPr>
        <b/>
        <sz val="12"/>
        <color rgb="FF0070C0"/>
        <rFont val="Arial Narrow"/>
        <family val="2"/>
      </rPr>
      <t xml:space="preserve"> (Mpa)</t>
    </r>
  </si>
  <si>
    <r>
      <rPr>
        <b/>
        <sz val="12"/>
        <color rgb="FF0070C0"/>
        <rFont val="Symbol"/>
        <family val="1"/>
        <charset val="2"/>
      </rPr>
      <t>t</t>
    </r>
    <r>
      <rPr>
        <b/>
        <vertAlign val="subscript"/>
        <sz val="12"/>
        <color rgb="FF0070C0"/>
        <rFont val="Calibri"/>
        <family val="2"/>
        <scheme val="minor"/>
      </rPr>
      <t>UV</t>
    </r>
    <r>
      <rPr>
        <b/>
        <sz val="12"/>
        <color rgb="FF0070C0"/>
        <rFont val="Arial Narrow"/>
        <family val="2"/>
      </rPr>
      <t xml:space="preserve"> (Mpa)</t>
    </r>
  </si>
  <si>
    <r>
      <rPr>
        <b/>
        <sz val="12"/>
        <color rgb="FF0070C0"/>
        <rFont val="Symbol"/>
        <family val="1"/>
        <charset val="2"/>
      </rPr>
      <t>t</t>
    </r>
    <r>
      <rPr>
        <b/>
        <vertAlign val="subscript"/>
        <sz val="12"/>
        <color rgb="FF0070C0"/>
        <rFont val="Calibri"/>
        <family val="2"/>
        <scheme val="minor"/>
      </rPr>
      <t>lim</t>
    </r>
    <r>
      <rPr>
        <b/>
        <sz val="12"/>
        <color rgb="FF0070C0"/>
        <rFont val="Arial Narrow"/>
        <family val="2"/>
      </rPr>
      <t xml:space="preserve"> (Mpa)</t>
    </r>
  </si>
  <si>
    <t>Al (cm²)</t>
  </si>
  <si>
    <t>St (cm)</t>
  </si>
  <si>
    <t>Vers 2,00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</si>
</sst>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%"/>
    <numFmt numFmtId="167" formatCode="0.0000"/>
  </numFmts>
  <fonts count="7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Arial Narrow"/>
      <family val="2"/>
    </font>
    <font>
      <b/>
      <sz val="12"/>
      <color theme="1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name val="Times New Roman"/>
      <family val="1"/>
    </font>
    <font>
      <u/>
      <sz val="11"/>
      <color theme="10"/>
      <name val="Calibri"/>
      <family val="2"/>
    </font>
    <font>
      <u/>
      <sz val="10"/>
      <color indexed="12"/>
      <name val="Arial"/>
      <family val="2"/>
    </font>
    <font>
      <sz val="12"/>
      <color theme="1"/>
      <name val="Arial Narrow"/>
      <family val="2"/>
    </font>
    <font>
      <b/>
      <u/>
      <sz val="12"/>
      <color theme="1"/>
      <name val="Arial Narrow"/>
      <family val="2"/>
    </font>
    <font>
      <b/>
      <i/>
      <sz val="10"/>
      <name val="Arial Narrow"/>
      <family val="2"/>
    </font>
    <font>
      <u/>
      <sz val="10"/>
      <color indexed="12"/>
      <name val="Arial Narrow"/>
      <family val="2"/>
    </font>
    <font>
      <sz val="12"/>
      <color theme="8" tint="-0.499984740745262"/>
      <name val="Arial Narrow"/>
      <family val="2"/>
    </font>
    <font>
      <sz val="12"/>
      <color rgb="FFFF0000"/>
      <name val="Arial Narrow"/>
      <family val="2"/>
    </font>
    <font>
      <b/>
      <sz val="12"/>
      <color rgb="FF00B050"/>
      <name val="Arial Narrow"/>
      <family val="2"/>
    </font>
    <font>
      <sz val="12"/>
      <color rgb="FF00B050"/>
      <name val="Arial Narrow"/>
      <family val="2"/>
    </font>
    <font>
      <b/>
      <sz val="12"/>
      <color rgb="FF0070C0"/>
      <name val="Arial Narrow"/>
      <family val="2"/>
    </font>
    <font>
      <b/>
      <sz val="11"/>
      <color theme="1"/>
      <name val="Calibri"/>
      <family val="2"/>
      <scheme val="minor"/>
    </font>
    <font>
      <b/>
      <i/>
      <sz val="10"/>
      <name val="Times New Roman"/>
      <family val="1"/>
    </font>
    <font>
      <sz val="11"/>
      <color rgb="FF002060"/>
      <name val="Calibri"/>
      <family val="2"/>
      <scheme val="minor"/>
    </font>
    <font>
      <b/>
      <sz val="12"/>
      <color theme="7" tint="-0.499984740745262"/>
      <name val="Arial Narrow"/>
      <family val="2"/>
    </font>
    <font>
      <b/>
      <vertAlign val="subscript"/>
      <sz val="12"/>
      <color theme="7" tint="-0.499984740745262"/>
      <name val="Arial Narrow"/>
      <family val="2"/>
    </font>
    <font>
      <b/>
      <sz val="12"/>
      <color theme="7" tint="-0.499984740745262"/>
      <name val="Eras Medium ITC"/>
      <family val="2"/>
    </font>
    <font>
      <b/>
      <vertAlign val="subscript"/>
      <sz val="12"/>
      <color rgb="FF0070C0"/>
      <name val="Arial Narrow"/>
      <family val="2"/>
    </font>
    <font>
      <b/>
      <sz val="12"/>
      <color rgb="FF0070C0"/>
      <name val="Georgia"/>
      <family val="1"/>
    </font>
    <font>
      <b/>
      <vertAlign val="subscript"/>
      <sz val="12"/>
      <color rgb="FF0070C0"/>
      <name val="Georgia"/>
      <family val="1"/>
    </font>
    <font>
      <b/>
      <sz val="12"/>
      <name val="Arial Narrow"/>
      <family val="2"/>
    </font>
    <font>
      <b/>
      <sz val="12"/>
      <color theme="9" tint="-0.249977111117893"/>
      <name val="Arial Narrow"/>
      <family val="2"/>
    </font>
    <font>
      <b/>
      <sz val="12"/>
      <color rgb="FF0070C0"/>
      <name val="Cambria"/>
      <family val="1"/>
    </font>
    <font>
      <b/>
      <vertAlign val="subscript"/>
      <sz val="12"/>
      <color rgb="FF0070C0"/>
      <name val="Cambria"/>
      <family val="1"/>
    </font>
    <font>
      <b/>
      <sz val="13"/>
      <name val="Arial Narrow"/>
      <family val="2"/>
    </font>
    <font>
      <b/>
      <sz val="13"/>
      <color theme="8" tint="-0.499984740745262"/>
      <name val="Arial Narrow"/>
      <family val="2"/>
    </font>
    <font>
      <b/>
      <sz val="13"/>
      <color theme="8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i/>
      <sz val="10"/>
      <name val="Calibri"/>
      <family val="2"/>
      <scheme val="minor"/>
    </font>
    <font>
      <u/>
      <sz val="10"/>
      <color indexed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bscript"/>
      <sz val="12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92D050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vertAlign val="subscript"/>
      <sz val="11"/>
      <color rgb="FF0070C0"/>
      <name val="Calibri"/>
      <family val="2"/>
      <scheme val="minor"/>
    </font>
    <font>
      <b/>
      <vertAlign val="superscript"/>
      <sz val="11"/>
      <color rgb="FF0070C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vertAlign val="subscript"/>
      <sz val="11"/>
      <color rgb="FF0070C0"/>
      <name val="Calibri"/>
      <family val="2"/>
      <scheme val="minor"/>
    </font>
    <font>
      <b/>
      <sz val="12"/>
      <color theme="5"/>
      <name val="Arial Narrow"/>
      <family val="2"/>
    </font>
    <font>
      <b/>
      <sz val="12"/>
      <color theme="3" tint="-0.249977111117893"/>
      <name val="Arial Narrow"/>
      <family val="2"/>
    </font>
    <font>
      <b/>
      <sz val="11"/>
      <color theme="3" tint="-0.249977111117893"/>
      <name val="Calibri"/>
      <family val="2"/>
      <scheme val="minor"/>
    </font>
    <font>
      <b/>
      <sz val="11"/>
      <color theme="1"/>
      <name val="Aparajita"/>
      <family val="2"/>
    </font>
    <font>
      <b/>
      <sz val="8"/>
      <color indexed="81"/>
      <name val="Tahoma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70C0"/>
      <name val="Symbol"/>
      <family val="1"/>
      <charset val="2"/>
    </font>
    <font>
      <b/>
      <vertAlign val="subscript"/>
      <sz val="12"/>
      <color rgb="FF0070C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0"/>
      <name val="Arial Narrow"/>
      <family val="2"/>
    </font>
    <font>
      <b/>
      <sz val="12"/>
      <color rgb="FF002060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rgb="FFFFC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/>
      <bottom/>
      <diagonal/>
    </border>
  </borders>
  <cellStyleXfs count="8">
    <xf numFmtId="0" fontId="0" fillId="0" borderId="0"/>
    <xf numFmtId="9" fontId="6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0" fontId="2" fillId="0" borderId="0"/>
  </cellStyleXfs>
  <cellXfs count="205">
    <xf numFmtId="0" fontId="0" fillId="0" borderId="0" xfId="0" applyFont="1" applyAlignment="1"/>
    <xf numFmtId="0" fontId="8" fillId="0" borderId="7" xfId="0" applyFont="1" applyBorder="1" applyAlignment="1" applyProtection="1">
      <alignment horizontal="center" vertical="center"/>
      <protection locked="0"/>
    </xf>
    <xf numFmtId="2" fontId="8" fillId="0" borderId="7" xfId="0" applyNumberFormat="1" applyFont="1" applyBorder="1" applyAlignment="1" applyProtection="1">
      <alignment horizontal="center" vertical="center"/>
      <protection locked="0"/>
    </xf>
    <xf numFmtId="1" fontId="8" fillId="0" borderId="7" xfId="0" applyNumberFormat="1" applyFont="1" applyBorder="1" applyAlignment="1" applyProtection="1">
      <alignment horizontal="center" vertical="center"/>
      <protection locked="0"/>
    </xf>
    <xf numFmtId="2" fontId="7" fillId="6" borderId="7" xfId="0" applyNumberFormat="1" applyFont="1" applyFill="1" applyBorder="1" applyAlignment="1" applyProtection="1">
      <alignment horizontal="center" vertical="center"/>
    </xf>
    <xf numFmtId="2" fontId="22" fillId="4" borderId="7" xfId="0" applyNumberFormat="1" applyFont="1" applyFill="1" applyBorder="1" applyAlignment="1" applyProtection="1">
      <alignment horizontal="center" vertical="center"/>
    </xf>
    <xf numFmtId="2" fontId="34" fillId="4" borderId="7" xfId="0" applyNumberFormat="1" applyFont="1" applyFill="1" applyBorder="1" applyAlignment="1" applyProtection="1">
      <alignment horizontal="center" vertical="center"/>
    </xf>
    <xf numFmtId="2" fontId="20" fillId="10" borderId="7" xfId="0" applyNumberFormat="1" applyFont="1" applyFill="1" applyBorder="1" applyAlignment="1" applyProtection="1">
      <alignment horizontal="center" vertical="center"/>
    </xf>
    <xf numFmtId="0" fontId="2" fillId="0" borderId="0" xfId="7"/>
    <xf numFmtId="0" fontId="1" fillId="0" borderId="0" xfId="0" applyFont="1" applyAlignment="1">
      <alignment vertical="center"/>
    </xf>
    <xf numFmtId="0" fontId="41" fillId="5" borderId="4" xfId="0" applyFont="1" applyFill="1" applyBorder="1" applyAlignment="1" applyProtection="1">
      <alignment horizontal="left" vertical="center"/>
      <protection hidden="1"/>
    </xf>
    <xf numFmtId="0" fontId="42" fillId="5" borderId="5" xfId="2" applyFont="1" applyFill="1" applyBorder="1" applyAlignment="1" applyProtection="1">
      <alignment horizontal="center" vertical="center"/>
      <protection hidden="1"/>
    </xf>
    <xf numFmtId="0" fontId="46" fillId="0" borderId="7" xfId="0" applyFont="1" applyBorder="1" applyAlignment="1" applyProtection="1">
      <alignment horizontal="center" vertical="center"/>
    </xf>
    <xf numFmtId="2" fontId="46" fillId="0" borderId="7" xfId="0" applyNumberFormat="1" applyFont="1" applyBorder="1" applyAlignment="1" applyProtection="1">
      <alignment horizontal="center" vertical="center"/>
    </xf>
    <xf numFmtId="0" fontId="1" fillId="0" borderId="0" xfId="0" applyFont="1"/>
    <xf numFmtId="2" fontId="65" fillId="8" borderId="7" xfId="0" applyNumberFormat="1" applyFont="1" applyFill="1" applyBorder="1" applyAlignment="1" applyProtection="1">
      <alignment horizontal="center" vertical="center"/>
    </xf>
    <xf numFmtId="0" fontId="14" fillId="0" borderId="0" xfId="5" applyFont="1" applyAlignment="1" applyProtection="1">
      <protection locked="0"/>
    </xf>
    <xf numFmtId="0" fontId="14" fillId="0" borderId="0" xfId="0" applyFont="1" applyAlignment="1" applyProtection="1">
      <protection locked="0"/>
    </xf>
    <xf numFmtId="2" fontId="15" fillId="0" borderId="0" xfId="0" applyNumberFormat="1" applyFont="1" applyAlignment="1" applyProtection="1">
      <alignment horizontal="center" vertical="center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14" fillId="0" borderId="0" xfId="0" applyFont="1" applyAlignment="1" applyProtection="1">
      <alignment horizontal="center"/>
      <protection locked="0"/>
    </xf>
    <xf numFmtId="0" fontId="20" fillId="6" borderId="7" xfId="0" applyFont="1" applyFill="1" applyBorder="1" applyAlignment="1" applyProtection="1">
      <alignment horizontal="center" vertical="center"/>
      <protection hidden="1"/>
    </xf>
    <xf numFmtId="2" fontId="26" fillId="4" borderId="7" xfId="0" applyNumberFormat="1" applyFont="1" applyFill="1" applyBorder="1" applyAlignment="1" applyProtection="1">
      <alignment horizontal="center" vertical="center"/>
    </xf>
    <xf numFmtId="2" fontId="33" fillId="6" borderId="7" xfId="0" applyNumberFormat="1" applyFont="1" applyFill="1" applyBorder="1" applyAlignment="1" applyProtection="1">
      <alignment horizontal="center" vertical="center"/>
    </xf>
    <xf numFmtId="0" fontId="14" fillId="0" borderId="0" xfId="0" applyFont="1" applyAlignment="1" applyProtection="1"/>
    <xf numFmtId="0" fontId="14" fillId="0" borderId="13" xfId="0" applyFont="1" applyBorder="1" applyAlignment="1" applyProtection="1"/>
    <xf numFmtId="0" fontId="14" fillId="0" borderId="12" xfId="0" applyFont="1" applyBorder="1" applyAlignment="1" applyProtection="1"/>
    <xf numFmtId="0" fontId="14" fillId="0" borderId="11" xfId="0" applyFont="1" applyBorder="1" applyAlignment="1" applyProtection="1"/>
    <xf numFmtId="0" fontId="14" fillId="0" borderId="37" xfId="0" applyFont="1" applyBorder="1" applyAlignment="1" applyProtection="1"/>
    <xf numFmtId="0" fontId="14" fillId="0" borderId="0" xfId="0" applyFont="1" applyBorder="1" applyAlignment="1" applyProtection="1"/>
    <xf numFmtId="0" fontId="14" fillId="0" borderId="38" xfId="0" applyFont="1" applyBorder="1" applyAlignment="1" applyProtection="1"/>
    <xf numFmtId="1" fontId="14" fillId="0" borderId="0" xfId="0" applyNumberFormat="1" applyFont="1" applyBorder="1" applyAlignment="1" applyProtection="1"/>
    <xf numFmtId="0" fontId="14" fillId="0" borderId="10" xfId="0" applyFont="1" applyBorder="1" applyAlignment="1" applyProtection="1"/>
    <xf numFmtId="0" fontId="14" fillId="0" borderId="9" xfId="0" applyFont="1" applyBorder="1" applyAlignment="1" applyProtection="1"/>
    <xf numFmtId="0" fontId="14" fillId="0" borderId="8" xfId="0" applyFont="1" applyBorder="1" applyAlignment="1" applyProtection="1"/>
    <xf numFmtId="0" fontId="18" fillId="0" borderId="32" xfId="5" applyFont="1" applyFill="1" applyBorder="1" applyAlignment="1" applyProtection="1">
      <alignment vertical="top" wrapText="1"/>
      <protection locked="0"/>
    </xf>
    <xf numFmtId="0" fontId="24" fillId="5" borderId="10" xfId="5" applyFont="1" applyFill="1" applyBorder="1" applyAlignment="1" applyProtection="1">
      <alignment horizontal="left" vertical="center"/>
    </xf>
    <xf numFmtId="0" fontId="13" fillId="5" borderId="9" xfId="4" applyFill="1" applyBorder="1" applyAlignment="1" applyProtection="1">
      <alignment horizontal="center" vertical="center"/>
    </xf>
    <xf numFmtId="0" fontId="24" fillId="5" borderId="9" xfId="5" applyFont="1" applyFill="1" applyBorder="1" applyAlignment="1" applyProtection="1">
      <alignment horizontal="left" vertical="center"/>
    </xf>
    <xf numFmtId="0" fontId="14" fillId="0" borderId="13" xfId="5" applyFont="1" applyBorder="1" applyAlignment="1" applyProtection="1"/>
    <xf numFmtId="0" fontId="14" fillId="0" borderId="12" xfId="5" applyFont="1" applyBorder="1" applyAlignment="1" applyProtection="1"/>
    <xf numFmtId="0" fontId="14" fillId="0" borderId="11" xfId="5" applyFont="1" applyBorder="1" applyAlignment="1" applyProtection="1"/>
    <xf numFmtId="0" fontId="14" fillId="0" borderId="37" xfId="5" applyFont="1" applyBorder="1" applyAlignment="1" applyProtection="1"/>
    <xf numFmtId="0" fontId="14" fillId="0" borderId="0" xfId="5" applyFont="1" applyBorder="1" applyAlignment="1" applyProtection="1"/>
    <xf numFmtId="0" fontId="14" fillId="0" borderId="38" xfId="5" applyFont="1" applyBorder="1" applyAlignment="1" applyProtection="1"/>
    <xf numFmtId="0" fontId="14" fillId="0" borderId="10" xfId="5" applyFont="1" applyBorder="1" applyAlignment="1" applyProtection="1"/>
    <xf numFmtId="0" fontId="14" fillId="0" borderId="9" xfId="5" applyFont="1" applyBorder="1" applyAlignment="1" applyProtection="1"/>
    <xf numFmtId="0" fontId="14" fillId="0" borderId="8" xfId="5" applyFont="1" applyBorder="1" applyAlignment="1" applyProtection="1"/>
    <xf numFmtId="0" fontId="60" fillId="4" borderId="7" xfId="0" applyFont="1" applyFill="1" applyBorder="1" applyAlignment="1" applyProtection="1">
      <alignment horizontal="center" vertical="center"/>
    </xf>
    <xf numFmtId="0" fontId="60" fillId="4" borderId="7" xfId="0" applyFont="1" applyFill="1" applyBorder="1" applyAlignment="1" applyProtection="1">
      <alignment horizontal="center"/>
    </xf>
    <xf numFmtId="0" fontId="63" fillId="4" borderId="7" xfId="0" applyFont="1" applyFill="1" applyBorder="1" applyAlignment="1" applyProtection="1">
      <alignment horizontal="center" vertical="center"/>
    </xf>
    <xf numFmtId="0" fontId="1" fillId="5" borderId="5" xfId="0" applyFont="1" applyFill="1" applyBorder="1" applyProtection="1"/>
    <xf numFmtId="0" fontId="1" fillId="0" borderId="0" xfId="0" applyFont="1" applyAlignment="1" applyProtection="1">
      <alignment vertical="center"/>
    </xf>
    <xf numFmtId="0" fontId="43" fillId="4" borderId="7" xfId="0" applyFont="1" applyFill="1" applyBorder="1" applyAlignment="1" applyProtection="1">
      <alignment horizontal="center" vertical="center"/>
    </xf>
    <xf numFmtId="0" fontId="23" fillId="4" borderId="7" xfId="0" applyFont="1" applyFill="1" applyBorder="1" applyAlignment="1" applyProtection="1">
      <alignment horizontal="center" vertical="center"/>
    </xf>
    <xf numFmtId="0" fontId="48" fillId="4" borderId="7" xfId="0" applyFont="1" applyFill="1" applyBorder="1" applyAlignment="1" applyProtection="1">
      <alignment horizontal="center" vertical="center"/>
    </xf>
    <xf numFmtId="0" fontId="48" fillId="2" borderId="7" xfId="0" applyFont="1" applyFill="1" applyBorder="1" applyAlignment="1" applyProtection="1">
      <alignment horizontal="center" vertical="center"/>
    </xf>
    <xf numFmtId="0" fontId="23" fillId="4" borderId="7" xfId="0" applyFont="1" applyFill="1" applyBorder="1" applyAlignment="1" applyProtection="1">
      <alignment horizontal="left" vertical="center"/>
    </xf>
    <xf numFmtId="0" fontId="1" fillId="0" borderId="7" xfId="0" applyFont="1" applyBorder="1" applyAlignment="1" applyProtection="1">
      <alignment horizontal="center" vertical="center"/>
    </xf>
    <xf numFmtId="0" fontId="46" fillId="4" borderId="7" xfId="0" applyFont="1" applyFill="1" applyBorder="1" applyAlignment="1" applyProtection="1">
      <alignment horizontal="center" vertical="center"/>
    </xf>
    <xf numFmtId="2" fontId="1" fillId="0" borderId="7" xfId="0" applyNumberFormat="1" applyFont="1" applyBorder="1" applyAlignment="1" applyProtection="1">
      <alignment horizontal="center" vertical="center"/>
    </xf>
    <xf numFmtId="2" fontId="39" fillId="0" borderId="7" xfId="0" applyNumberFormat="1" applyFont="1" applyBorder="1" applyAlignment="1" applyProtection="1">
      <alignment horizontal="center" vertical="center"/>
    </xf>
    <xf numFmtId="0" fontId="23" fillId="2" borderId="7" xfId="0" applyFont="1" applyFill="1" applyBorder="1" applyAlignment="1" applyProtection="1">
      <alignment horizontal="center" vertical="center"/>
    </xf>
    <xf numFmtId="10" fontId="1" fillId="0" borderId="7" xfId="1" applyNumberFormat="1" applyFont="1" applyBorder="1" applyAlignment="1" applyProtection="1">
      <alignment horizontal="center" vertical="center"/>
    </xf>
    <xf numFmtId="10" fontId="39" fillId="0" borderId="7" xfId="1" applyNumberFormat="1" applyFont="1" applyBorder="1" applyAlignment="1" applyProtection="1">
      <alignment horizontal="center" vertical="center"/>
    </xf>
    <xf numFmtId="10" fontId="23" fillId="3" borderId="7" xfId="0" applyNumberFormat="1" applyFont="1" applyFill="1" applyBorder="1" applyAlignment="1" applyProtection="1">
      <alignment horizontal="center" vertical="center"/>
    </xf>
    <xf numFmtId="0" fontId="23" fillId="3" borderId="7" xfId="0" applyFont="1" applyFill="1" applyBorder="1" applyAlignment="1" applyProtection="1">
      <alignment horizontal="center" vertical="center"/>
    </xf>
    <xf numFmtId="10" fontId="1" fillId="0" borderId="0" xfId="1" applyNumberFormat="1" applyFont="1" applyAlignment="1" applyProtection="1">
      <alignment horizontal="center" vertical="center"/>
    </xf>
    <xf numFmtId="2" fontId="1" fillId="0" borderId="7" xfId="1" applyNumberFormat="1" applyFont="1" applyBorder="1" applyAlignment="1" applyProtection="1">
      <alignment horizontal="center" vertical="center"/>
    </xf>
    <xf numFmtId="0" fontId="1" fillId="0" borderId="0" xfId="5" applyFont="1" applyAlignment="1" applyProtection="1">
      <alignment vertical="center"/>
    </xf>
    <xf numFmtId="0" fontId="1" fillId="0" borderId="0" xfId="5" applyFont="1" applyBorder="1" applyAlignment="1" applyProtection="1">
      <alignment vertical="center"/>
    </xf>
    <xf numFmtId="0" fontId="50" fillId="0" borderId="0" xfId="0" applyFont="1" applyFill="1" applyBorder="1" applyAlignment="1" applyProtection="1">
      <alignment horizontal="center" vertical="center"/>
    </xf>
    <xf numFmtId="0" fontId="46" fillId="9" borderId="14" xfId="5" applyFont="1" applyFill="1" applyBorder="1" applyAlignment="1" applyProtection="1">
      <alignment horizontal="center" vertical="center"/>
    </xf>
    <xf numFmtId="2" fontId="46" fillId="0" borderId="14" xfId="5" applyNumberFormat="1" applyFont="1" applyBorder="1" applyAlignment="1" applyProtection="1">
      <alignment horizontal="center" vertical="center"/>
    </xf>
    <xf numFmtId="0" fontId="46" fillId="0" borderId="14" xfId="5" applyFont="1" applyBorder="1" applyAlignment="1" applyProtection="1">
      <alignment horizontal="center" vertical="center"/>
    </xf>
    <xf numFmtId="0" fontId="51" fillId="0" borderId="0" xfId="5" applyFont="1" applyBorder="1" applyAlignment="1" applyProtection="1">
      <alignment horizontal="center" vertical="center"/>
    </xf>
    <xf numFmtId="0" fontId="52" fillId="9" borderId="14" xfId="5" applyFont="1" applyFill="1" applyBorder="1" applyAlignment="1" applyProtection="1">
      <alignment horizontal="center" vertical="center"/>
    </xf>
    <xf numFmtId="2" fontId="23" fillId="0" borderId="14" xfId="5" applyNumberFormat="1" applyFont="1" applyBorder="1" applyAlignment="1" applyProtection="1">
      <alignment horizontal="center" vertical="center"/>
    </xf>
    <xf numFmtId="0" fontId="23" fillId="4" borderId="23" xfId="5" applyFont="1" applyFill="1" applyBorder="1" applyAlignment="1" applyProtection="1">
      <alignment horizontal="center" vertical="center"/>
    </xf>
    <xf numFmtId="0" fontId="23" fillId="4" borderId="22" xfId="5" applyFont="1" applyFill="1" applyBorder="1" applyAlignment="1" applyProtection="1">
      <alignment horizontal="center" vertical="center"/>
    </xf>
    <xf numFmtId="2" fontId="1" fillId="0" borderId="21" xfId="5" applyNumberFormat="1" applyFont="1" applyBorder="1" applyAlignment="1" applyProtection="1">
      <alignment horizontal="center" vertical="center"/>
    </xf>
    <xf numFmtId="0" fontId="46" fillId="4" borderId="20" xfId="5" applyFont="1" applyFill="1" applyBorder="1" applyAlignment="1" applyProtection="1">
      <alignment horizontal="center" vertical="center"/>
    </xf>
    <xf numFmtId="0" fontId="46" fillId="4" borderId="19" xfId="5" applyFont="1" applyFill="1" applyBorder="1" applyAlignment="1" applyProtection="1">
      <alignment horizontal="center" vertical="center"/>
    </xf>
    <xf numFmtId="0" fontId="23" fillId="4" borderId="16" xfId="5" applyFont="1" applyFill="1" applyBorder="1" applyAlignment="1" applyProtection="1">
      <alignment horizontal="center" vertical="center"/>
    </xf>
    <xf numFmtId="0" fontId="25" fillId="0" borderId="16" xfId="5" applyFont="1" applyBorder="1" applyAlignment="1" applyProtection="1">
      <alignment horizontal="left" vertical="center"/>
    </xf>
    <xf numFmtId="2" fontId="53" fillId="0" borderId="18" xfId="5" applyNumberFormat="1" applyFont="1" applyBorder="1" applyAlignment="1" applyProtection="1">
      <alignment horizontal="center" vertical="center"/>
    </xf>
    <xf numFmtId="2" fontId="1" fillId="0" borderId="0" xfId="5" applyNumberFormat="1" applyFont="1" applyAlignment="1" applyProtection="1">
      <alignment vertical="center"/>
    </xf>
    <xf numFmtId="2" fontId="53" fillId="0" borderId="15" xfId="5" applyNumberFormat="1" applyFont="1" applyBorder="1" applyAlignment="1" applyProtection="1">
      <alignment horizontal="center" vertical="center"/>
    </xf>
    <xf numFmtId="2" fontId="53" fillId="0" borderId="17" xfId="5" applyNumberFormat="1" applyFont="1" applyBorder="1" applyAlignment="1" applyProtection="1">
      <alignment horizontal="center" vertical="center"/>
    </xf>
    <xf numFmtId="2" fontId="53" fillId="0" borderId="14" xfId="5" applyNumberFormat="1" applyFont="1" applyBorder="1" applyAlignment="1" applyProtection="1">
      <alignment horizontal="center" vertical="center"/>
    </xf>
    <xf numFmtId="0" fontId="25" fillId="0" borderId="16" xfId="5" applyFont="1" applyBorder="1" applyAlignment="1" applyProtection="1">
      <alignment vertical="center"/>
    </xf>
    <xf numFmtId="0" fontId="23" fillId="0" borderId="36" xfId="0" applyFont="1" applyBorder="1" applyAlignment="1" applyProtection="1">
      <alignment horizontal="center" vertical="center"/>
    </xf>
    <xf numFmtId="165" fontId="1" fillId="0" borderId="16" xfId="0" applyNumberFormat="1" applyFont="1" applyBorder="1" applyAlignment="1" applyProtection="1">
      <alignment horizontal="center" vertical="center"/>
    </xf>
    <xf numFmtId="0" fontId="1" fillId="0" borderId="0" xfId="0" applyFont="1" applyProtection="1"/>
    <xf numFmtId="0" fontId="23" fillId="0" borderId="16" xfId="0" applyFont="1" applyBorder="1" applyAlignment="1" applyProtection="1">
      <alignment horizontal="center" vertical="center"/>
    </xf>
    <xf numFmtId="0" fontId="56" fillId="0" borderId="16" xfId="0" applyFont="1" applyBorder="1" applyAlignment="1" applyProtection="1">
      <alignment horizontal="center" vertical="center"/>
    </xf>
    <xf numFmtId="0" fontId="57" fillId="0" borderId="16" xfId="0" applyFont="1" applyBorder="1" applyAlignment="1" applyProtection="1">
      <alignment horizontal="center" vertical="center"/>
    </xf>
    <xf numFmtId="165" fontId="1" fillId="0" borderId="7" xfId="0" applyNumberFormat="1" applyFont="1" applyBorder="1" applyAlignment="1" applyProtection="1">
      <alignment horizontal="center" vertical="center"/>
    </xf>
    <xf numFmtId="2" fontId="54" fillId="0" borderId="7" xfId="0" applyNumberFormat="1" applyFont="1" applyBorder="1" applyAlignment="1" applyProtection="1">
      <alignment horizontal="center" vertical="center"/>
    </xf>
    <xf numFmtId="1" fontId="54" fillId="0" borderId="7" xfId="0" applyNumberFormat="1" applyFont="1" applyBorder="1" applyAlignment="1" applyProtection="1">
      <alignment horizontal="center" vertical="center"/>
    </xf>
    <xf numFmtId="10" fontId="1" fillId="0" borderId="0" xfId="1" applyNumberFormat="1" applyFont="1" applyAlignment="1" applyProtection="1">
      <alignment vertical="center"/>
    </xf>
    <xf numFmtId="166" fontId="1" fillId="0" borderId="0" xfId="1" applyNumberFormat="1" applyFont="1" applyAlignment="1" applyProtection="1">
      <alignment vertical="center"/>
    </xf>
    <xf numFmtId="167" fontId="1" fillId="0" borderId="7" xfId="1" applyNumberFormat="1" applyFont="1" applyBorder="1" applyAlignment="1" applyProtection="1">
      <alignment horizontal="center" vertical="center"/>
    </xf>
    <xf numFmtId="2" fontId="14" fillId="0" borderId="0" xfId="5" applyNumberFormat="1" applyFont="1" applyAlignment="1" applyProtection="1">
      <protection locked="0"/>
    </xf>
    <xf numFmtId="0" fontId="24" fillId="5" borderId="9" xfId="5" applyFont="1" applyFill="1" applyBorder="1" applyAlignment="1" applyProtection="1">
      <alignment horizontal="center" vertical="center"/>
    </xf>
    <xf numFmtId="0" fontId="14" fillId="5" borderId="9" xfId="5" applyFont="1" applyFill="1" applyBorder="1" applyAlignment="1" applyProtection="1"/>
    <xf numFmtId="0" fontId="14" fillId="5" borderId="8" xfId="5" applyFont="1" applyFill="1" applyBorder="1" applyAlignment="1" applyProtection="1"/>
    <xf numFmtId="0" fontId="16" fillId="5" borderId="4" xfId="0" applyFont="1" applyFill="1" applyBorder="1" applyAlignment="1" applyProtection="1">
      <alignment horizontal="left" vertical="center"/>
    </xf>
    <xf numFmtId="0" fontId="17" fillId="5" borderId="5" xfId="2" applyFont="1" applyFill="1" applyBorder="1" applyAlignment="1" applyProtection="1">
      <alignment horizontal="center" vertical="center"/>
    </xf>
    <xf numFmtId="0" fontId="16" fillId="5" borderId="5" xfId="0" applyFont="1" applyFill="1" applyBorder="1" applyAlignment="1" applyProtection="1">
      <alignment horizontal="center" vertical="center"/>
    </xf>
    <xf numFmtId="0" fontId="16" fillId="5" borderId="6" xfId="0" applyFont="1" applyFill="1" applyBorder="1" applyAlignment="1" applyProtection="1">
      <alignment horizontal="center" vertical="center"/>
    </xf>
    <xf numFmtId="0" fontId="76" fillId="0" borderId="12" xfId="5" applyFont="1" applyBorder="1" applyAlignment="1" applyProtection="1"/>
    <xf numFmtId="0" fontId="36" fillId="2" borderId="27" xfId="0" applyFont="1" applyFill="1" applyBorder="1" applyAlignment="1" applyProtection="1">
      <alignment horizontal="center" vertical="center"/>
    </xf>
    <xf numFmtId="0" fontId="36" fillId="2" borderId="31" xfId="0" applyFont="1" applyFill="1" applyBorder="1" applyAlignment="1" applyProtection="1">
      <alignment horizontal="center" vertical="center"/>
    </xf>
    <xf numFmtId="0" fontId="36" fillId="2" borderId="28" xfId="0" applyFont="1" applyFill="1" applyBorder="1" applyAlignment="1" applyProtection="1">
      <alignment horizontal="center" vertical="center"/>
    </xf>
    <xf numFmtId="2" fontId="20" fillId="6" borderId="27" xfId="0" applyNumberFormat="1" applyFont="1" applyFill="1" applyBorder="1" applyAlignment="1" applyProtection="1">
      <alignment horizontal="center" vertical="center"/>
    </xf>
    <xf numFmtId="2" fontId="20" fillId="6" borderId="28" xfId="0" applyNumberFormat="1" applyFont="1" applyFill="1" applyBorder="1" applyAlignment="1" applyProtection="1">
      <alignment horizontal="center" vertical="center"/>
    </xf>
    <xf numFmtId="2" fontId="22" fillId="4" borderId="29" xfId="0" applyNumberFormat="1" applyFont="1" applyFill="1" applyBorder="1" applyAlignment="1" applyProtection="1">
      <alignment horizontal="center" vertical="center"/>
    </xf>
    <xf numFmtId="2" fontId="22" fillId="4" borderId="30" xfId="0" applyNumberFormat="1" applyFont="1" applyFill="1" applyBorder="1" applyAlignment="1" applyProtection="1">
      <alignment horizontal="center" vertical="center"/>
    </xf>
    <xf numFmtId="2" fontId="30" fillId="4" borderId="27" xfId="0" applyNumberFormat="1" applyFont="1" applyFill="1" applyBorder="1" applyAlignment="1" applyProtection="1">
      <alignment horizontal="center" vertical="center"/>
    </xf>
    <xf numFmtId="2" fontId="22" fillId="4" borderId="28" xfId="0" applyNumberFormat="1" applyFont="1" applyFill="1" applyBorder="1" applyAlignment="1" applyProtection="1">
      <alignment horizontal="center" vertical="center"/>
    </xf>
    <xf numFmtId="2" fontId="22" fillId="4" borderId="27" xfId="0" applyNumberFormat="1" applyFont="1" applyFill="1" applyBorder="1" applyAlignment="1" applyProtection="1">
      <alignment horizontal="center" vertical="center"/>
    </xf>
    <xf numFmtId="2" fontId="7" fillId="6" borderId="27" xfId="0" applyNumberFormat="1" applyFont="1" applyFill="1" applyBorder="1" applyAlignment="1" applyProtection="1">
      <alignment horizontal="center" vertical="center"/>
    </xf>
    <xf numFmtId="2" fontId="7" fillId="6" borderId="28" xfId="0" applyNumberFormat="1" applyFont="1" applyFill="1" applyBorder="1" applyAlignment="1" applyProtection="1">
      <alignment horizontal="center" vertical="center"/>
    </xf>
    <xf numFmtId="2" fontId="8" fillId="0" borderId="27" xfId="0" applyNumberFormat="1" applyFont="1" applyBorder="1" applyAlignment="1" applyProtection="1">
      <alignment horizontal="center" vertical="center"/>
      <protection locked="0"/>
    </xf>
    <xf numFmtId="2" fontId="8" fillId="0" borderId="28" xfId="0" applyNumberFormat="1" applyFont="1" applyBorder="1" applyAlignment="1" applyProtection="1">
      <alignment horizontal="center" vertical="center"/>
      <protection locked="0"/>
    </xf>
    <xf numFmtId="0" fontId="20" fillId="7" borderId="7" xfId="0" applyFont="1" applyFill="1" applyBorder="1" applyAlignment="1" applyProtection="1">
      <alignment horizontal="center" vertical="center"/>
    </xf>
    <xf numFmtId="0" fontId="21" fillId="7" borderId="7" xfId="0" applyFont="1" applyFill="1" applyBorder="1" applyProtection="1"/>
    <xf numFmtId="0" fontId="19" fillId="8" borderId="1" xfId="0" applyFont="1" applyFill="1" applyBorder="1" applyAlignment="1" applyProtection="1">
      <alignment horizontal="center" vertical="top" wrapText="1"/>
    </xf>
    <xf numFmtId="0" fontId="19" fillId="8" borderId="2" xfId="0" applyFont="1" applyFill="1" applyBorder="1" applyAlignment="1" applyProtection="1">
      <alignment horizontal="center" vertical="top" wrapText="1"/>
    </xf>
    <xf numFmtId="0" fontId="19" fillId="8" borderId="3" xfId="0" applyFont="1" applyFill="1" applyBorder="1" applyAlignment="1" applyProtection="1">
      <alignment horizontal="center" vertical="top" wrapText="1"/>
    </xf>
    <xf numFmtId="0" fontId="19" fillId="8" borderId="4" xfId="0" applyFont="1" applyFill="1" applyBorder="1" applyAlignment="1" applyProtection="1">
      <alignment horizontal="center" vertical="top" wrapText="1"/>
    </xf>
    <xf numFmtId="0" fontId="19" fillId="8" borderId="5" xfId="0" applyFont="1" applyFill="1" applyBorder="1" applyAlignment="1" applyProtection="1">
      <alignment horizontal="center" vertical="top" wrapText="1"/>
    </xf>
    <xf numFmtId="0" fontId="19" fillId="8" borderId="6" xfId="0" applyFont="1" applyFill="1" applyBorder="1" applyAlignment="1" applyProtection="1">
      <alignment horizontal="center" vertical="top" wrapText="1"/>
    </xf>
    <xf numFmtId="0" fontId="8" fillId="0" borderId="27" xfId="0" applyFont="1" applyBorder="1" applyAlignment="1" applyProtection="1">
      <alignment horizontal="center" vertical="center"/>
      <protection locked="0"/>
    </xf>
    <xf numFmtId="0" fontId="8" fillId="0" borderId="28" xfId="0" applyFont="1" applyBorder="1" applyAlignment="1" applyProtection="1">
      <alignment horizontal="center" vertical="center"/>
      <protection locked="0"/>
    </xf>
    <xf numFmtId="0" fontId="22" fillId="4" borderId="27" xfId="0" applyFont="1" applyFill="1" applyBorder="1" applyAlignment="1" applyProtection="1">
      <alignment horizontal="center" vertical="center"/>
    </xf>
    <xf numFmtId="0" fontId="22" fillId="4" borderId="28" xfId="0" applyFont="1" applyFill="1" applyBorder="1" applyAlignment="1" applyProtection="1">
      <alignment horizontal="center" vertical="center"/>
    </xf>
    <xf numFmtId="0" fontId="36" fillId="2" borderId="27" xfId="0" applyFont="1" applyFill="1" applyBorder="1" applyAlignment="1" applyProtection="1">
      <alignment horizontal="center" vertical="center"/>
      <protection hidden="1"/>
    </xf>
    <xf numFmtId="0" fontId="36" fillId="2" borderId="31" xfId="0" applyFont="1" applyFill="1" applyBorder="1" applyAlignment="1" applyProtection="1">
      <alignment horizontal="center" vertical="center"/>
      <protection hidden="1"/>
    </xf>
    <xf numFmtId="0" fontId="36" fillId="2" borderId="28" xfId="0" applyFont="1" applyFill="1" applyBorder="1" applyAlignment="1" applyProtection="1">
      <alignment horizontal="center" vertical="center"/>
      <protection hidden="1"/>
    </xf>
    <xf numFmtId="2" fontId="15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protection locked="0"/>
    </xf>
    <xf numFmtId="0" fontId="11" fillId="5" borderId="1" xfId="0" applyFont="1" applyFill="1" applyBorder="1" applyAlignment="1" applyProtection="1">
      <alignment horizontal="center" vertical="center"/>
    </xf>
    <xf numFmtId="0" fontId="11" fillId="5" borderId="2" xfId="0" applyFont="1" applyFill="1" applyBorder="1" applyAlignment="1" applyProtection="1">
      <alignment horizontal="center" vertical="center"/>
    </xf>
    <xf numFmtId="0" fontId="11" fillId="5" borderId="3" xfId="0" applyFont="1" applyFill="1" applyBorder="1" applyAlignment="1" applyProtection="1">
      <alignment horizontal="center" vertical="center"/>
    </xf>
    <xf numFmtId="0" fontId="22" fillId="4" borderId="27" xfId="0" applyFont="1" applyFill="1" applyBorder="1" applyAlignment="1" applyProtection="1">
      <alignment horizontal="center" vertical="center"/>
      <protection hidden="1"/>
    </xf>
    <xf numFmtId="0" fontId="22" fillId="4" borderId="28" xfId="0" applyFont="1" applyFill="1" applyBorder="1" applyAlignment="1" applyProtection="1">
      <alignment horizontal="center" vertical="center"/>
      <protection hidden="1"/>
    </xf>
    <xf numFmtId="164" fontId="8" fillId="0" borderId="27" xfId="0" applyNumberFormat="1" applyFont="1" applyBorder="1" applyAlignment="1" applyProtection="1">
      <alignment horizontal="center" vertical="center"/>
      <protection locked="0"/>
    </xf>
    <xf numFmtId="164" fontId="8" fillId="0" borderId="28" xfId="0" applyNumberFormat="1" applyFont="1" applyBorder="1" applyAlignment="1" applyProtection="1">
      <alignment horizontal="center" vertical="center"/>
      <protection locked="0"/>
    </xf>
    <xf numFmtId="0" fontId="14" fillId="0" borderId="39" xfId="0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38" xfId="0" applyFont="1" applyBorder="1" applyAlignment="1" applyProtection="1">
      <alignment horizontal="center"/>
      <protection locked="0"/>
    </xf>
    <xf numFmtId="0" fontId="77" fillId="0" borderId="39" xfId="0" applyFont="1" applyBorder="1" applyAlignment="1" applyProtection="1">
      <alignment horizontal="center"/>
    </xf>
    <xf numFmtId="0" fontId="77" fillId="0" borderId="0" xfId="0" applyFont="1" applyAlignment="1" applyProtection="1">
      <alignment horizontal="center"/>
    </xf>
    <xf numFmtId="0" fontId="77" fillId="0" borderId="38" xfId="0" applyFont="1" applyBorder="1" applyAlignment="1" applyProtection="1">
      <alignment horizontal="center"/>
    </xf>
    <xf numFmtId="0" fontId="24" fillId="5" borderId="9" xfId="5" applyFont="1" applyFill="1" applyBorder="1" applyAlignment="1" applyProtection="1">
      <alignment horizontal="center" vertical="center"/>
    </xf>
    <xf numFmtId="0" fontId="66" fillId="12" borderId="27" xfId="0" applyFont="1" applyFill="1" applyBorder="1" applyAlignment="1" applyProtection="1">
      <alignment horizontal="center" vertical="center" wrapText="1"/>
    </xf>
    <xf numFmtId="0" fontId="66" fillId="12" borderId="31" xfId="0" applyFont="1" applyFill="1" applyBorder="1" applyAlignment="1" applyProtection="1">
      <alignment horizontal="center" vertical="center" wrapText="1"/>
    </xf>
    <xf numFmtId="0" fontId="66" fillId="12" borderId="28" xfId="0" applyFont="1" applyFill="1" applyBorder="1" applyAlignment="1" applyProtection="1">
      <alignment horizontal="center" vertical="center" wrapText="1"/>
    </xf>
    <xf numFmtId="0" fontId="67" fillId="4" borderId="7" xfId="0" applyFont="1" applyFill="1" applyBorder="1" applyAlignment="1" applyProtection="1">
      <alignment horizontal="center" vertical="center"/>
    </xf>
    <xf numFmtId="0" fontId="32" fillId="2" borderId="27" xfId="0" applyFont="1" applyFill="1" applyBorder="1" applyAlignment="1" applyProtection="1">
      <alignment horizontal="center" vertical="center"/>
    </xf>
    <xf numFmtId="0" fontId="32" fillId="2" borderId="31" xfId="0" applyFont="1" applyFill="1" applyBorder="1" applyAlignment="1" applyProtection="1">
      <alignment horizontal="center" vertical="center"/>
    </xf>
    <xf numFmtId="0" fontId="32" fillId="2" borderId="28" xfId="0" applyFont="1" applyFill="1" applyBorder="1" applyAlignment="1" applyProtection="1">
      <alignment horizontal="center" vertical="center"/>
    </xf>
    <xf numFmtId="49" fontId="32" fillId="2" borderId="27" xfId="0" applyNumberFormat="1" applyFont="1" applyFill="1" applyBorder="1" applyAlignment="1" applyProtection="1">
      <alignment horizontal="center" vertical="center"/>
    </xf>
    <xf numFmtId="49" fontId="32" fillId="2" borderId="31" xfId="0" applyNumberFormat="1" applyFont="1" applyFill="1" applyBorder="1" applyAlignment="1" applyProtection="1">
      <alignment horizontal="center" vertical="center"/>
    </xf>
    <xf numFmtId="49" fontId="32" fillId="2" borderId="28" xfId="0" applyNumberFormat="1" applyFont="1" applyFill="1" applyBorder="1" applyAlignment="1" applyProtection="1">
      <alignment horizontal="center" vertical="center"/>
    </xf>
    <xf numFmtId="0" fontId="19" fillId="8" borderId="39" xfId="0" applyFont="1" applyFill="1" applyBorder="1" applyAlignment="1" applyProtection="1">
      <alignment horizontal="center" vertical="top" wrapText="1"/>
    </xf>
    <xf numFmtId="0" fontId="19" fillId="8" borderId="0" xfId="0" applyFont="1" applyFill="1" applyBorder="1" applyAlignment="1" applyProtection="1">
      <alignment horizontal="center" vertical="top" wrapText="1"/>
    </xf>
    <xf numFmtId="0" fontId="19" fillId="8" borderId="32" xfId="0" applyFont="1" applyFill="1" applyBorder="1" applyAlignment="1" applyProtection="1">
      <alignment horizontal="center" vertical="top" wrapText="1"/>
    </xf>
    <xf numFmtId="2" fontId="33" fillId="6" borderId="27" xfId="0" applyNumberFormat="1" applyFont="1" applyFill="1" applyBorder="1" applyAlignment="1" applyProtection="1">
      <alignment horizontal="center" vertical="center"/>
    </xf>
    <xf numFmtId="2" fontId="33" fillId="6" borderId="28" xfId="0" applyNumberFormat="1" applyFont="1" applyFill="1" applyBorder="1" applyAlignment="1" applyProtection="1">
      <alignment horizontal="center" vertical="center"/>
    </xf>
    <xf numFmtId="0" fontId="11" fillId="5" borderId="13" xfId="5" applyFont="1" applyFill="1" applyBorder="1" applyAlignment="1" applyProtection="1">
      <alignment horizontal="center" vertical="center"/>
    </xf>
    <xf numFmtId="0" fontId="11" fillId="5" borderId="12" xfId="5" applyFont="1" applyFill="1" applyBorder="1" applyAlignment="1" applyProtection="1">
      <alignment horizontal="center" vertical="center"/>
    </xf>
    <xf numFmtId="0" fontId="11" fillId="5" borderId="11" xfId="5" applyFont="1" applyFill="1" applyBorder="1" applyAlignment="1" applyProtection="1">
      <alignment horizontal="center" vertical="center"/>
    </xf>
    <xf numFmtId="0" fontId="22" fillId="4" borderId="27" xfId="0" applyFont="1" applyFill="1" applyBorder="1" applyAlignment="1" applyProtection="1">
      <alignment horizontal="center"/>
    </xf>
    <xf numFmtId="0" fontId="22" fillId="4" borderId="28" xfId="0" applyFont="1" applyFill="1" applyBorder="1" applyAlignment="1" applyProtection="1">
      <alignment horizontal="center"/>
    </xf>
    <xf numFmtId="2" fontId="26" fillId="4" borderId="27" xfId="0" applyNumberFormat="1" applyFont="1" applyFill="1" applyBorder="1" applyAlignment="1" applyProtection="1">
      <alignment horizontal="center" vertical="center"/>
    </xf>
    <xf numFmtId="2" fontId="26" fillId="4" borderId="28" xfId="0" applyNumberFormat="1" applyFont="1" applyFill="1" applyBorder="1" applyAlignment="1" applyProtection="1">
      <alignment horizontal="center" vertical="center"/>
    </xf>
    <xf numFmtId="0" fontId="36" fillId="8" borderId="1" xfId="7" applyFont="1" applyFill="1" applyBorder="1" applyAlignment="1">
      <alignment horizontal="center" vertical="top" wrapText="1"/>
    </xf>
    <xf numFmtId="0" fontId="36" fillId="8" borderId="2" xfId="7" applyFont="1" applyFill="1" applyBorder="1" applyAlignment="1">
      <alignment horizontal="center" vertical="top" wrapText="1"/>
    </xf>
    <xf numFmtId="0" fontId="36" fillId="8" borderId="3" xfId="7" applyFont="1" applyFill="1" applyBorder="1" applyAlignment="1">
      <alignment horizontal="center" vertical="top" wrapText="1"/>
    </xf>
    <xf numFmtId="0" fontId="36" fillId="8" borderId="4" xfId="7" applyFont="1" applyFill="1" applyBorder="1" applyAlignment="1">
      <alignment horizontal="center" vertical="top" wrapText="1"/>
    </xf>
    <xf numFmtId="0" fontId="36" fillId="8" borderId="5" xfId="7" applyFont="1" applyFill="1" applyBorder="1" applyAlignment="1">
      <alignment horizontal="center" vertical="top" wrapText="1"/>
    </xf>
    <xf numFmtId="0" fontId="36" fillId="8" borderId="6" xfId="7" applyFont="1" applyFill="1" applyBorder="1" applyAlignment="1">
      <alignment horizontal="center" vertical="top" wrapText="1"/>
    </xf>
    <xf numFmtId="0" fontId="13" fillId="8" borderId="7" xfId="4" applyFill="1" applyBorder="1" applyAlignment="1" applyProtection="1">
      <alignment horizontal="center" vertical="center"/>
    </xf>
    <xf numFmtId="0" fontId="37" fillId="8" borderId="7" xfId="7" applyFont="1" applyFill="1" applyBorder="1" applyAlignment="1">
      <alignment horizontal="center" vertical="center"/>
    </xf>
    <xf numFmtId="0" fontId="38" fillId="8" borderId="7" xfId="7" applyFont="1" applyFill="1" applyBorder="1" applyAlignment="1">
      <alignment horizontal="center" vertical="center"/>
    </xf>
    <xf numFmtId="0" fontId="58" fillId="11" borderId="33" xfId="0" applyFont="1" applyFill="1" applyBorder="1" applyAlignment="1" applyProtection="1">
      <alignment horizontal="center" vertical="center"/>
    </xf>
    <xf numFmtId="0" fontId="58" fillId="11" borderId="34" xfId="0" applyFont="1" applyFill="1" applyBorder="1" applyAlignment="1" applyProtection="1">
      <alignment horizontal="center" vertical="center"/>
    </xf>
    <xf numFmtId="0" fontId="58" fillId="11" borderId="35" xfId="0" applyFont="1" applyFill="1" applyBorder="1" applyAlignment="1" applyProtection="1">
      <alignment horizontal="center" vertical="center"/>
    </xf>
    <xf numFmtId="0" fontId="57" fillId="0" borderId="16" xfId="0" applyFont="1" applyBorder="1" applyAlignment="1" applyProtection="1">
      <alignment horizontal="center" vertical="center"/>
    </xf>
    <xf numFmtId="0" fontId="23" fillId="0" borderId="16" xfId="0" applyFont="1" applyBorder="1" applyAlignment="1" applyProtection="1">
      <alignment horizontal="center" vertical="center"/>
    </xf>
    <xf numFmtId="0" fontId="40" fillId="5" borderId="24" xfId="0" applyFont="1" applyFill="1" applyBorder="1" applyAlignment="1" applyProtection="1">
      <alignment horizontal="center" vertical="center"/>
      <protection hidden="1"/>
    </xf>
    <xf numFmtId="0" fontId="40" fillId="5" borderId="25" xfId="0" applyFont="1" applyFill="1" applyBorder="1" applyAlignment="1" applyProtection="1">
      <alignment horizontal="center" vertical="center"/>
      <protection hidden="1"/>
    </xf>
    <xf numFmtId="0" fontId="40" fillId="5" borderId="26" xfId="0" applyFont="1" applyFill="1" applyBorder="1" applyAlignment="1" applyProtection="1">
      <alignment horizontal="center" vertical="center"/>
      <protection hidden="1"/>
    </xf>
    <xf numFmtId="0" fontId="23" fillId="2" borderId="7" xfId="0" applyFont="1" applyFill="1" applyBorder="1" applyAlignment="1" applyProtection="1">
      <alignment horizontal="center" vertical="center"/>
    </xf>
    <xf numFmtId="0" fontId="49" fillId="2" borderId="33" xfId="0" applyFont="1" applyFill="1" applyBorder="1" applyAlignment="1" applyProtection="1">
      <alignment horizontal="center" wrapText="1"/>
    </xf>
    <xf numFmtId="0" fontId="49" fillId="2" borderId="34" xfId="0" applyFont="1" applyFill="1" applyBorder="1" applyAlignment="1" applyProtection="1">
      <alignment horizontal="center" wrapText="1"/>
    </xf>
    <xf numFmtId="0" fontId="49" fillId="2" borderId="35" xfId="0" applyFont="1" applyFill="1" applyBorder="1" applyAlignment="1" applyProtection="1">
      <alignment horizontal="center" wrapText="1"/>
    </xf>
    <xf numFmtId="0" fontId="40" fillId="5" borderId="1" xfId="0" applyFont="1" applyFill="1" applyBorder="1" applyAlignment="1" applyProtection="1">
      <alignment horizontal="center" vertical="center"/>
      <protection hidden="1"/>
    </xf>
    <xf numFmtId="0" fontId="40" fillId="5" borderId="2" xfId="0" applyFont="1" applyFill="1" applyBorder="1" applyAlignment="1" applyProtection="1">
      <alignment horizontal="center" vertical="center"/>
      <protection hidden="1"/>
    </xf>
    <xf numFmtId="0" fontId="40" fillId="5" borderId="3" xfId="0" applyFont="1" applyFill="1" applyBorder="1" applyAlignment="1" applyProtection="1">
      <alignment horizontal="center" vertical="center"/>
      <protection hidden="1"/>
    </xf>
    <xf numFmtId="0" fontId="41" fillId="5" borderId="5" xfId="0" applyFont="1" applyFill="1" applyBorder="1" applyAlignment="1" applyProtection="1">
      <alignment horizontal="center" vertical="center"/>
      <protection hidden="1"/>
    </xf>
    <xf numFmtId="0" fontId="41" fillId="5" borderId="6" xfId="0" applyFont="1" applyFill="1" applyBorder="1" applyAlignment="1" applyProtection="1">
      <alignment horizontal="center" vertical="center"/>
      <protection hidden="1"/>
    </xf>
  </cellXfs>
  <cellStyles count="8">
    <cellStyle name="Hyperlink" xfId="2" builtinId="8"/>
    <cellStyle name="Hyperlink 2" xfId="4"/>
    <cellStyle name="Normal" xfId="0" builtinId="0"/>
    <cellStyle name="Normal 2" xfId="3"/>
    <cellStyle name="Normal 3" xfId="5"/>
    <cellStyle name="Normal 4" xfId="6"/>
    <cellStyle name="Normal 5" xfId="7"/>
    <cellStyle name="Percent" xfId="1" builtinId="5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7F71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10" Type="http://schemas.openxmlformats.org/officeDocument/2006/relationships/image" Target="../media/image15.png"/><Relationship Id="rId4" Type="http://schemas.openxmlformats.org/officeDocument/2006/relationships/image" Target="../media/image10.png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209551</xdr:colOff>
      <xdr:row>4</xdr:row>
      <xdr:rowOff>57150</xdr:rowOff>
    </xdr:from>
    <xdr:to>
      <xdr:col>13</xdr:col>
      <xdr:colOff>133350</xdr:colOff>
      <xdr:row>32</xdr:row>
      <xdr:rowOff>142876</xdr:rowOff>
    </xdr:to>
    <xdr:grpSp>
      <xdr:nvGrpSpPr>
        <xdr:cNvPr id="22" name="Group 21"/>
        <xdr:cNvGrpSpPr/>
      </xdr:nvGrpSpPr>
      <xdr:grpSpPr>
        <a:xfrm>
          <a:off x="8172451" y="962025"/>
          <a:ext cx="2666999" cy="6505576"/>
          <a:chOff x="8648701" y="952500"/>
          <a:chExt cx="2666999" cy="6457951"/>
        </a:xfrm>
      </xdr:grpSpPr>
      <xdr:pic>
        <xdr:nvPicPr>
          <xdr:cNvPr id="7" name="Picture 6" descr="poteaux.png"/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 t="1742"/>
          <a:stretch>
            <a:fillRect/>
          </a:stretch>
        </xdr:blipFill>
        <xdr:spPr>
          <a:xfrm>
            <a:off x="8797883" y="962025"/>
            <a:ext cx="2121334" cy="6448426"/>
          </a:xfrm>
          <a:prstGeom prst="rect">
            <a:avLst/>
          </a:prstGeom>
        </xdr:spPr>
      </xdr:pic>
      <xdr:sp macro="" textlink="Co">
        <xdr:nvSpPr>
          <xdr:cNvPr id="4" name="TextBox 3"/>
          <xdr:cNvSpPr txBox="1"/>
        </xdr:nvSpPr>
        <xdr:spPr>
          <a:xfrm>
            <a:off x="10029825" y="952500"/>
            <a:ext cx="113347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fld id="{78A55681-1311-4C8D-B3B6-354E3D8009F6}" type="TxLink">
              <a:rPr lang="en-US" sz="1100" b="1" i="0" u="none" strike="noStrike">
                <a:solidFill>
                  <a:srgbClr val="000000"/>
                </a:solidFill>
                <a:latin typeface="Calibri"/>
              </a:rPr>
              <a:pPr/>
              <a:t>50Øl = 80 (cm) </a:t>
            </a:fld>
            <a:endParaRPr lang="fr-FR" sz="1100" b="1"/>
          </a:p>
        </xdr:txBody>
      </xdr:sp>
      <xdr:sp macro="" textlink="Lcr">
        <xdr:nvSpPr>
          <xdr:cNvPr id="5" name="TextBox 4"/>
          <xdr:cNvSpPr txBox="1"/>
        </xdr:nvSpPr>
        <xdr:spPr>
          <a:xfrm>
            <a:off x="8648701" y="2095500"/>
            <a:ext cx="304800" cy="9048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vert="vert270" wrap="square" rtlCol="0" anchor="ctr"/>
          <a:lstStyle/>
          <a:p>
            <a:pPr algn="ctr"/>
            <a:fld id="{1073FC93-86C5-4EB4-A3F7-CD78D5CEA088}" type="TxLink">
              <a:rPr lang="en-US" sz="1100" b="1" i="0" u="none" strike="noStrike">
                <a:solidFill>
                  <a:srgbClr val="000000"/>
                </a:solidFill>
                <a:latin typeface="Calibri"/>
              </a:rPr>
              <a:pPr algn="ctr"/>
              <a:t>Lcr = 86,67 (cm)</a:t>
            </a:fld>
            <a:endParaRPr lang="fr-FR" sz="1100" b="1"/>
          </a:p>
        </xdr:txBody>
      </xdr:sp>
      <xdr:sp macro="" textlink="Lcr">
        <xdr:nvSpPr>
          <xdr:cNvPr id="6" name="TextBox 5"/>
          <xdr:cNvSpPr txBox="1"/>
        </xdr:nvSpPr>
        <xdr:spPr>
          <a:xfrm>
            <a:off x="8658226" y="4657725"/>
            <a:ext cx="304800" cy="9048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vert="vert270" wrap="square" rtlCol="0" anchor="ctr"/>
          <a:lstStyle/>
          <a:p>
            <a:pPr algn="ctr"/>
            <a:fld id="{1073FC93-86C5-4EB4-A3F7-CD78D5CEA088}" type="TxLink">
              <a:rPr lang="en-US" sz="1100" b="1" i="0" u="none" strike="noStrike">
                <a:solidFill>
                  <a:srgbClr val="000000"/>
                </a:solidFill>
                <a:latin typeface="Calibri"/>
              </a:rPr>
              <a:pPr algn="ctr"/>
              <a:t>Lcr = 86,67 (cm)</a:t>
            </a:fld>
            <a:endParaRPr lang="fr-FR" sz="1100" b="1"/>
          </a:p>
        </xdr:txBody>
      </xdr:sp>
      <xdr:sp macro="" textlink="Lrec">
        <xdr:nvSpPr>
          <xdr:cNvPr id="8" name="TextBox 7"/>
          <xdr:cNvSpPr txBox="1"/>
        </xdr:nvSpPr>
        <xdr:spPr>
          <a:xfrm>
            <a:off x="10010776" y="4067175"/>
            <a:ext cx="304800" cy="1323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vert="vert270" wrap="square" rtlCol="0" anchor="ctr"/>
          <a:lstStyle/>
          <a:p>
            <a:pPr algn="ctr"/>
            <a:fld id="{55D811AF-7F17-4F9A-91EA-90C5870B2BBD}" type="TxLink">
              <a:rPr lang="en-US" sz="1100" b="1" i="0" u="none" strike="noStrike">
                <a:solidFill>
                  <a:srgbClr val="0070C0"/>
                </a:solidFill>
                <a:latin typeface="Calibri"/>
              </a:rPr>
              <a:pPr algn="ctr"/>
              <a:t>Lrec = 80(cm)</a:t>
            </a:fld>
            <a:endParaRPr lang="fr-FR" sz="1100" b="1">
              <a:solidFill>
                <a:srgbClr val="0070C0"/>
              </a:solidFill>
            </a:endParaRPr>
          </a:p>
        </xdr:txBody>
      </xdr:sp>
      <xdr:cxnSp macro="">
        <xdr:nvCxnSpPr>
          <xdr:cNvPr id="10" name="Straight Arrow Connector 9"/>
          <xdr:cNvCxnSpPr/>
        </xdr:nvCxnSpPr>
        <xdr:spPr>
          <a:xfrm>
            <a:off x="10420350" y="2295525"/>
            <a:ext cx="0" cy="3132000"/>
          </a:xfrm>
          <a:prstGeom prst="straightConnector1">
            <a:avLst/>
          </a:prstGeom>
          <a:ln>
            <a:headEnd type="triangle" w="med" len="med"/>
            <a:tailEnd type="triangl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Lcl">
        <xdr:nvSpPr>
          <xdr:cNvPr id="11" name="TextBox 10"/>
          <xdr:cNvSpPr txBox="1"/>
        </xdr:nvSpPr>
        <xdr:spPr>
          <a:xfrm>
            <a:off x="10382251" y="3409950"/>
            <a:ext cx="304800" cy="9048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vert="vert270" wrap="square" rtlCol="0" anchor="ctr"/>
          <a:lstStyle/>
          <a:p>
            <a:pPr algn="ctr"/>
            <a:fld id="{617BB7B5-D2C3-41D4-97F6-0D4FECFCE0F4}" type="TxLink">
              <a:rPr lang="en-US" sz="1100" b="1" i="0" u="none" strike="noStrike">
                <a:solidFill>
                  <a:srgbClr val="C00000"/>
                </a:solidFill>
                <a:latin typeface="Calibri"/>
              </a:rPr>
              <a:pPr algn="ctr"/>
              <a:t>Lcl = 5,2 (m)</a:t>
            </a:fld>
            <a:endParaRPr lang="fr-FR" sz="1100" b="1">
              <a:solidFill>
                <a:srgbClr val="C00000"/>
              </a:solidFill>
            </a:endParaRPr>
          </a:p>
        </xdr:txBody>
      </xdr:sp>
      <xdr:sp macro="" textlink="t">
        <xdr:nvSpPr>
          <xdr:cNvPr id="12" name="TextBox 11"/>
          <xdr:cNvSpPr txBox="1"/>
        </xdr:nvSpPr>
        <xdr:spPr>
          <a:xfrm>
            <a:off x="10410826" y="2476500"/>
            <a:ext cx="866774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fld id="{13143C01-7902-468B-B306-EFA5BB1A260C}" type="TxLink">
              <a:rPr lang="en-US" sz="1100" b="1" i="0" u="none" strike="noStrike">
                <a:solidFill>
                  <a:srgbClr val="0070C0"/>
                </a:solidFill>
                <a:latin typeface="Calibri"/>
              </a:rPr>
              <a:pPr/>
              <a:t>t = 10 (cm)</a:t>
            </a:fld>
            <a:endParaRPr lang="fr-FR" sz="1100" b="1">
              <a:solidFill>
                <a:srgbClr val="0070C0"/>
              </a:solidFill>
            </a:endParaRPr>
          </a:p>
        </xdr:txBody>
      </xdr:sp>
      <xdr:sp macro="" textlink="tc">
        <xdr:nvSpPr>
          <xdr:cNvPr id="13" name="TextBox 12"/>
          <xdr:cNvSpPr txBox="1"/>
        </xdr:nvSpPr>
        <xdr:spPr>
          <a:xfrm>
            <a:off x="10429875" y="2895600"/>
            <a:ext cx="8858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fld id="{D5246D37-FC75-41A5-97C6-71C8114C173A}" type="TxLink">
              <a:rPr lang="en-US" sz="1100" b="1" i="0" u="none" strike="noStrike">
                <a:solidFill>
                  <a:srgbClr val="0070C0"/>
                </a:solidFill>
                <a:latin typeface="Calibri"/>
              </a:rPr>
              <a:pPr/>
              <a:t>t' = 20 (cm)</a:t>
            </a:fld>
            <a:endParaRPr lang="fr-FR" sz="1100" b="1">
              <a:solidFill>
                <a:srgbClr val="0070C0"/>
              </a:solidFill>
            </a:endParaRPr>
          </a:p>
        </xdr:txBody>
      </xdr:sp>
    </xdr:grpSp>
    <xdr:clientData/>
  </xdr:twoCellAnchor>
  <xdr:twoCellAnchor>
    <xdr:from>
      <xdr:col>7</xdr:col>
      <xdr:colOff>228600</xdr:colOff>
      <xdr:row>9</xdr:row>
      <xdr:rowOff>28575</xdr:rowOff>
    </xdr:from>
    <xdr:to>
      <xdr:col>9</xdr:col>
      <xdr:colOff>266700</xdr:colOff>
      <xdr:row>18</xdr:row>
      <xdr:rowOff>9525</xdr:rowOff>
    </xdr:to>
    <xdr:grpSp>
      <xdr:nvGrpSpPr>
        <xdr:cNvPr id="31" name="Group 30"/>
        <xdr:cNvGrpSpPr/>
      </xdr:nvGrpSpPr>
      <xdr:grpSpPr>
        <a:xfrm>
          <a:off x="5695950" y="2057400"/>
          <a:ext cx="2085975" cy="2200275"/>
          <a:chOff x="5800725" y="2352675"/>
          <a:chExt cx="2085975" cy="2200275"/>
        </a:xfrm>
      </xdr:grpSpPr>
      <xdr:grpSp>
        <xdr:nvGrpSpPr>
          <xdr:cNvPr id="30" name="Group 29"/>
          <xdr:cNvGrpSpPr/>
        </xdr:nvGrpSpPr>
        <xdr:grpSpPr>
          <a:xfrm>
            <a:off x="5857876" y="2423529"/>
            <a:ext cx="1943100" cy="1996071"/>
            <a:chOff x="5857876" y="2423529"/>
            <a:chExt cx="1943100" cy="1996071"/>
          </a:xfrm>
        </xdr:grpSpPr>
        <xdr:pic>
          <xdr:nvPicPr>
            <xdr:cNvPr id="23" name="Picture 22" descr="poteaux coupe.png"/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5953125" y="2423529"/>
              <a:ext cx="1685722" cy="1843450"/>
            </a:xfrm>
            <a:prstGeom prst="rect">
              <a:avLst/>
            </a:prstGeom>
          </xdr:spPr>
        </xdr:pic>
        <xdr:sp macro="" textlink="hc">
          <xdr:nvSpPr>
            <xdr:cNvPr id="24" name="TextBox 23"/>
            <xdr:cNvSpPr txBox="1"/>
          </xdr:nvSpPr>
          <xdr:spPr>
            <a:xfrm>
              <a:off x="7496176" y="2781300"/>
              <a:ext cx="304800" cy="9048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vert="vert270" wrap="square" rtlCol="0" anchor="ctr"/>
            <a:lstStyle/>
            <a:p>
              <a:pPr algn="ctr"/>
              <a:fld id="{FEC18059-938A-4658-81A3-7D7BBF24A27D}" type="TxLink">
                <a:rPr lang="en-US" sz="1100" b="1" i="0" u="none" strike="noStrike">
                  <a:solidFill>
                    <a:srgbClr val="000000"/>
                  </a:solidFill>
                  <a:latin typeface="Calibri"/>
                </a:rPr>
                <a:pPr algn="ctr"/>
                <a:t>hc = 40 (cm)</a:t>
              </a:fld>
              <a:endParaRPr lang="fr-FR" sz="1050" b="1">
                <a:solidFill>
                  <a:srgbClr val="C00000"/>
                </a:solidFill>
              </a:endParaRPr>
            </a:p>
          </xdr:txBody>
        </xdr:sp>
        <xdr:sp macro="" textlink="bc">
          <xdr:nvSpPr>
            <xdr:cNvPr id="25" name="TextBox 24"/>
            <xdr:cNvSpPr txBox="1"/>
          </xdr:nvSpPr>
          <xdr:spPr>
            <a:xfrm>
              <a:off x="6286499" y="4133850"/>
              <a:ext cx="1038225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ctr"/>
            <a:lstStyle/>
            <a:p>
              <a:pPr algn="ctr"/>
              <a:fld id="{E49342F8-967B-40DA-B07F-D02F61D3DD27}" type="TxLink">
                <a:rPr lang="en-US" sz="1100" b="1" i="0" u="none" strike="noStrike">
                  <a:solidFill>
                    <a:srgbClr val="000000"/>
                  </a:solidFill>
                  <a:latin typeface="Calibri"/>
                </a:rPr>
                <a:pPr algn="ctr"/>
                <a:t>bc = 40 (cm)</a:t>
              </a:fld>
              <a:endParaRPr lang="fr-FR" sz="1100" b="1">
                <a:solidFill>
                  <a:srgbClr val="0070C0"/>
                </a:solidFill>
              </a:endParaRPr>
            </a:p>
          </xdr:txBody>
        </xdr:sp>
        <xdr:sp macro="" textlink="d">
          <xdr:nvSpPr>
            <xdr:cNvPr id="27" name="TextBox 26"/>
            <xdr:cNvSpPr txBox="1"/>
          </xdr:nvSpPr>
          <xdr:spPr>
            <a:xfrm>
              <a:off x="5857876" y="3419475"/>
              <a:ext cx="304800" cy="9048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vert="vert270" wrap="square" rtlCol="0" anchor="ctr"/>
            <a:lstStyle/>
            <a:p>
              <a:pPr algn="ctr"/>
              <a:fld id="{1F1A4BA2-0A23-4018-A7D1-DBC46B80E834}" type="TxLink">
                <a:rPr lang="en-US" sz="1100" b="1" i="0" u="none" strike="noStrike">
                  <a:solidFill>
                    <a:srgbClr val="000000"/>
                  </a:solidFill>
                  <a:latin typeface="Calibri"/>
                </a:rPr>
                <a:pPr algn="ctr"/>
                <a:t>d = 3 (cm)</a:t>
              </a:fld>
              <a:endParaRPr lang="fr-FR" sz="1050" b="1">
                <a:solidFill>
                  <a:srgbClr val="C00000"/>
                </a:solidFill>
              </a:endParaRPr>
            </a:p>
          </xdr:txBody>
        </xdr:sp>
      </xdr:grpSp>
      <xdr:sp macro="" textlink="">
        <xdr:nvSpPr>
          <xdr:cNvPr id="29" name="Rectangle 28"/>
          <xdr:cNvSpPr/>
        </xdr:nvSpPr>
        <xdr:spPr>
          <a:xfrm>
            <a:off x="5800725" y="2352675"/>
            <a:ext cx="2085975" cy="220027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fr-FR" sz="1100"/>
          </a:p>
        </xdr:txBody>
      </xdr:sp>
    </xdr:grpSp>
    <xdr:clientData/>
  </xdr:twoCellAnchor>
  <xdr:twoCellAnchor editAs="oneCell">
    <xdr:from>
      <xdr:col>12</xdr:col>
      <xdr:colOff>371475</xdr:colOff>
      <xdr:row>1</xdr:row>
      <xdr:rowOff>28575</xdr:rowOff>
    </xdr:from>
    <xdr:to>
      <xdr:col>12</xdr:col>
      <xdr:colOff>875475</xdr:colOff>
      <xdr:row>2</xdr:row>
      <xdr:rowOff>265875</xdr:rowOff>
    </xdr:to>
    <xdr:pic>
      <xdr:nvPicPr>
        <xdr:cNvPr id="20" name="Picture 19" descr="Logo Morsli.png"/>
        <xdr:cNvPicPr>
          <a:picLocks noChangeAspect="1"/>
        </xdr:cNvPicPr>
      </xdr:nvPicPr>
      <xdr:blipFill>
        <a:blip xmlns:r="http://schemas.openxmlformats.org/officeDocument/2006/relationships" r:embed="rId3" cstate="print">
          <a:lum bright="-30000"/>
        </a:blip>
        <a:stretch>
          <a:fillRect/>
        </a:stretch>
      </xdr:blipFill>
      <xdr:spPr>
        <a:xfrm>
          <a:off x="10163175" y="171450"/>
          <a:ext cx="504000" cy="50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1057275</xdr:colOff>
      <xdr:row>23</xdr:row>
      <xdr:rowOff>190500</xdr:rowOff>
    </xdr:from>
    <xdr:to>
      <xdr:col>9</xdr:col>
      <xdr:colOff>912172</xdr:colOff>
      <xdr:row>32</xdr:row>
      <xdr:rowOff>9525</xdr:rowOff>
    </xdr:to>
    <xdr:pic>
      <xdr:nvPicPr>
        <xdr:cNvPr id="19" name="Picture 18" descr="Poutrefial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5619750"/>
          <a:ext cx="6408097" cy="1619250"/>
        </a:xfrm>
        <a:prstGeom prst="rect">
          <a:avLst/>
        </a:prstGeom>
      </xdr:spPr>
    </xdr:pic>
    <xdr:clientData/>
  </xdr:twoCellAnchor>
  <xdr:twoCellAnchor>
    <xdr:from>
      <xdr:col>3</xdr:col>
      <xdr:colOff>671140</xdr:colOff>
      <xdr:row>30</xdr:row>
      <xdr:rowOff>38100</xdr:rowOff>
    </xdr:from>
    <xdr:to>
      <xdr:col>6</xdr:col>
      <xdr:colOff>790573</xdr:colOff>
      <xdr:row>32</xdr:row>
      <xdr:rowOff>152400</xdr:rowOff>
    </xdr:to>
    <xdr:grpSp>
      <xdr:nvGrpSpPr>
        <xdr:cNvPr id="13" name="Group 12"/>
        <xdr:cNvGrpSpPr/>
      </xdr:nvGrpSpPr>
      <xdr:grpSpPr>
        <a:xfrm>
          <a:off x="3014290" y="6810375"/>
          <a:ext cx="2395908" cy="514350"/>
          <a:chOff x="6115290" y="6591300"/>
          <a:chExt cx="2590560" cy="514350"/>
        </a:xfrm>
      </xdr:grpSpPr>
      <xdr:cxnSp macro="">
        <xdr:nvCxnSpPr>
          <xdr:cNvPr id="4" name="Straight Arrow Connector 3" descr="lklklklklkl"/>
          <xdr:cNvCxnSpPr/>
        </xdr:nvCxnSpPr>
        <xdr:spPr>
          <a:xfrm>
            <a:off x="6170543" y="6991350"/>
            <a:ext cx="927651" cy="0"/>
          </a:xfrm>
          <a:prstGeom prst="straightConnector1">
            <a:avLst/>
          </a:prstGeom>
          <a:ln w="6350">
            <a:solidFill>
              <a:schemeClr val="tx1"/>
            </a:solidFill>
            <a:headEnd type="triangle" w="med" len="sm"/>
            <a:tailEnd type="triangle" w="med" len="sm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lcrp">
        <xdr:nvSpPr>
          <xdr:cNvPr id="10" name="TextBox 9"/>
          <xdr:cNvSpPr txBox="1"/>
        </xdr:nvSpPr>
        <xdr:spPr>
          <a:xfrm>
            <a:off x="6115290" y="6743700"/>
            <a:ext cx="1076631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fld id="{CFEE3528-3581-4162-AB86-8C9370719960}" type="TxLink">
              <a:rPr lang="en-US" sz="1100" b="1" i="0" u="none" strike="noStrike">
                <a:solidFill>
                  <a:srgbClr val="000000"/>
                </a:solidFill>
                <a:latin typeface="Calibri"/>
              </a:rPr>
              <a:pPr algn="ctr"/>
              <a:t>l' = 52.5 (cm)</a:t>
            </a:fld>
            <a:endParaRPr lang="fr-FR" sz="1100" b="1"/>
          </a:p>
        </xdr:txBody>
      </xdr:sp>
      <xdr:sp macro="" textlink="S">
        <xdr:nvSpPr>
          <xdr:cNvPr id="11" name="TextBox 10"/>
          <xdr:cNvSpPr txBox="1"/>
        </xdr:nvSpPr>
        <xdr:spPr>
          <a:xfrm>
            <a:off x="7724775" y="6591300"/>
            <a:ext cx="904875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fld id="{70BE9339-C7FC-4E06-B52C-B12434B7A4ED}" type="TxLink">
              <a:rPr lang="en-US" sz="1100" b="1" i="0" u="none" strike="noStrike">
                <a:solidFill>
                  <a:srgbClr val="000000"/>
                </a:solidFill>
                <a:latin typeface="Calibri"/>
              </a:rPr>
              <a:pPr algn="ctr"/>
              <a:t>S = 8 (cm)</a:t>
            </a:fld>
            <a:endParaRPr lang="fr-FR" sz="1100" b="1"/>
          </a:p>
        </xdr:txBody>
      </xdr:sp>
      <xdr:sp macro="" textlink="Sp">
        <xdr:nvSpPr>
          <xdr:cNvPr id="12" name="TextBox 11"/>
          <xdr:cNvSpPr txBox="1"/>
        </xdr:nvSpPr>
        <xdr:spPr>
          <a:xfrm>
            <a:off x="7734300" y="6829425"/>
            <a:ext cx="9715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fld id="{301F1930-588C-4251-BC6F-6439AD1FC192}" type="TxLink">
              <a:rPr lang="en-US" sz="1100" b="1" i="0" u="none" strike="noStrike">
                <a:solidFill>
                  <a:srgbClr val="000000"/>
                </a:solidFill>
                <a:latin typeface="Calibri"/>
              </a:rPr>
              <a:pPr algn="ctr"/>
              <a:t>S' = 10 (cm)</a:t>
            </a:fld>
            <a:endParaRPr lang="fr-FR" sz="1100" b="1"/>
          </a:p>
        </xdr:txBody>
      </xdr:sp>
    </xdr:grpSp>
    <xdr:clientData/>
  </xdr:twoCellAnchor>
  <xdr:twoCellAnchor>
    <xdr:from>
      <xdr:col>1</xdr:col>
      <xdr:colOff>66675</xdr:colOff>
      <xdr:row>23</xdr:row>
      <xdr:rowOff>142875</xdr:rowOff>
    </xdr:from>
    <xdr:to>
      <xdr:col>2</xdr:col>
      <xdr:colOff>981075</xdr:colOff>
      <xdr:row>33</xdr:row>
      <xdr:rowOff>114300</xdr:rowOff>
    </xdr:to>
    <xdr:grpSp>
      <xdr:nvGrpSpPr>
        <xdr:cNvPr id="18" name="Group 17"/>
        <xdr:cNvGrpSpPr/>
      </xdr:nvGrpSpPr>
      <xdr:grpSpPr>
        <a:xfrm>
          <a:off x="314325" y="5514975"/>
          <a:ext cx="1828800" cy="1971675"/>
          <a:chOff x="3276600" y="5210175"/>
          <a:chExt cx="1828800" cy="1971675"/>
        </a:xfrm>
      </xdr:grpSpPr>
      <xdr:pic>
        <xdr:nvPicPr>
          <xdr:cNvPr id="15" name="Picture 14" descr="Poutres22.png"/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3293377" y="5229226"/>
            <a:ext cx="1745069" cy="1924050"/>
          </a:xfrm>
          <a:prstGeom prst="rect">
            <a:avLst/>
          </a:prstGeom>
        </xdr:spPr>
      </xdr:pic>
      <xdr:sp macro="" textlink="b">
        <xdr:nvSpPr>
          <xdr:cNvPr id="8" name="TextBox 7"/>
          <xdr:cNvSpPr txBox="1"/>
        </xdr:nvSpPr>
        <xdr:spPr>
          <a:xfrm>
            <a:off x="3838575" y="6905625"/>
            <a:ext cx="828675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fld id="{F6AD86DE-B036-4E60-B27A-2F8536FB9B6E}" type="TxLink">
              <a:rPr lang="en-US" sz="1100" b="1" i="0" u="none" strike="noStrike">
                <a:solidFill>
                  <a:srgbClr val="000000"/>
                </a:solidFill>
                <a:latin typeface="Calibri"/>
              </a:rPr>
              <a:pPr algn="ctr"/>
              <a:t>b = 30 (cm)</a:t>
            </a:fld>
            <a:endParaRPr lang="fr-FR" sz="1100" b="1"/>
          </a:p>
        </xdr:txBody>
      </xdr:sp>
      <xdr:sp macro="" textlink="h">
        <xdr:nvSpPr>
          <xdr:cNvPr id="9" name="TextBox 8"/>
          <xdr:cNvSpPr txBox="1"/>
        </xdr:nvSpPr>
        <xdr:spPr>
          <a:xfrm>
            <a:off x="4800600" y="5743575"/>
            <a:ext cx="304800" cy="8286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vert="vert270" wrap="square" rtlCol="0" anchor="ctr"/>
          <a:lstStyle/>
          <a:p>
            <a:pPr algn="ctr"/>
            <a:fld id="{9F62E7D0-0AE3-4B85-BC03-E026D64CDF8B}" type="TxLink">
              <a:rPr lang="en-US" sz="1100" b="1" i="0" u="none" strike="noStrike">
                <a:solidFill>
                  <a:srgbClr val="000000"/>
                </a:solidFill>
                <a:latin typeface="Calibri"/>
              </a:rPr>
              <a:pPr algn="ctr"/>
              <a:t>h = 35 (cm)</a:t>
            </a:fld>
            <a:endParaRPr lang="fr-FR" sz="1100" b="1"/>
          </a:p>
        </xdr:txBody>
      </xdr:sp>
      <xdr:sp macro="" textlink="dp">
        <xdr:nvSpPr>
          <xdr:cNvPr id="16" name="TextBox 15"/>
          <xdr:cNvSpPr txBox="1"/>
        </xdr:nvSpPr>
        <xdr:spPr>
          <a:xfrm>
            <a:off x="3276600" y="6305550"/>
            <a:ext cx="304800" cy="8286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vert="vert270" wrap="square" rtlCol="0" anchor="ctr"/>
          <a:lstStyle/>
          <a:p>
            <a:pPr algn="ctr"/>
            <a:fld id="{34D159D6-26E0-44E1-A3D1-5E27AE4842E6}" type="TxLink">
              <a:rPr lang="en-US" sz="1000" b="1" i="0" u="none" strike="noStrike">
                <a:solidFill>
                  <a:srgbClr val="000000"/>
                </a:solidFill>
                <a:latin typeface="Calibri"/>
              </a:rPr>
              <a:pPr algn="ctr"/>
              <a:t>d = 2.5 (cm)</a:t>
            </a:fld>
            <a:endParaRPr lang="fr-FR" sz="1000" b="1"/>
          </a:p>
        </xdr:txBody>
      </xdr:sp>
      <xdr:sp macro="" textlink="dp">
        <xdr:nvSpPr>
          <xdr:cNvPr id="17" name="TextBox 16"/>
          <xdr:cNvSpPr txBox="1"/>
        </xdr:nvSpPr>
        <xdr:spPr>
          <a:xfrm>
            <a:off x="3305175" y="5210175"/>
            <a:ext cx="304800" cy="8286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vert="vert270" wrap="square" rtlCol="0" anchor="ctr"/>
          <a:lstStyle/>
          <a:p>
            <a:pPr algn="ctr"/>
            <a:fld id="{34D159D6-26E0-44E1-A3D1-5E27AE4842E6}" type="TxLink">
              <a:rPr lang="en-US" sz="1000" b="1" i="0" u="none" strike="noStrike">
                <a:solidFill>
                  <a:srgbClr val="000000"/>
                </a:solidFill>
                <a:latin typeface="Calibri"/>
              </a:rPr>
              <a:pPr algn="ctr"/>
              <a:t>d = 2.5 (cm)</a:t>
            </a:fld>
            <a:endParaRPr lang="fr-FR" sz="1000" b="1"/>
          </a:p>
        </xdr:txBody>
      </xdr:sp>
    </xdr:grpSp>
    <xdr:clientData/>
  </xdr:twoCellAnchor>
  <xdr:twoCellAnchor>
    <xdr:from>
      <xdr:col>5</xdr:col>
      <xdr:colOff>169792</xdr:colOff>
      <xdr:row>24</xdr:row>
      <xdr:rowOff>85725</xdr:rowOff>
    </xdr:from>
    <xdr:to>
      <xdr:col>7</xdr:col>
      <xdr:colOff>250942</xdr:colOff>
      <xdr:row>24</xdr:row>
      <xdr:rowOff>85725</xdr:rowOff>
    </xdr:to>
    <xdr:cxnSp macro="">
      <xdr:nvCxnSpPr>
        <xdr:cNvPr id="20" name="Straight Arrow Connector 19" descr="lklklklklkl"/>
        <xdr:cNvCxnSpPr/>
      </xdr:nvCxnSpPr>
      <xdr:spPr>
        <a:xfrm>
          <a:off x="5922892" y="5715000"/>
          <a:ext cx="1548000" cy="0"/>
        </a:xfrm>
        <a:prstGeom prst="straightConnector1">
          <a:avLst/>
        </a:prstGeom>
        <a:ln w="6350">
          <a:solidFill>
            <a:srgbClr val="0070C0"/>
          </a:solidFill>
          <a:headEnd type="triangle" w="med" len="sm"/>
          <a:tailEnd type="triangle" w="med" len="sm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426968</xdr:colOff>
      <xdr:row>23</xdr:row>
      <xdr:rowOff>57150</xdr:rowOff>
    </xdr:from>
    <xdr:to>
      <xdr:col>7</xdr:col>
      <xdr:colOff>133350</xdr:colOff>
      <xdr:row>24</xdr:row>
      <xdr:rowOff>133350</xdr:rowOff>
    </xdr:to>
    <xdr:sp macro="" textlink="Lrp">
      <xdr:nvSpPr>
        <xdr:cNvPr id="21" name="TextBox 20"/>
        <xdr:cNvSpPr txBox="1"/>
      </xdr:nvSpPr>
      <xdr:spPr>
        <a:xfrm>
          <a:off x="6180068" y="5486400"/>
          <a:ext cx="1173232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fld id="{C0177520-5C02-4EE3-B055-A11A78895B00}" type="TxLink">
            <a:rPr lang="en-US" sz="1100" b="1" i="0" u="none" strike="noStrike">
              <a:solidFill>
                <a:srgbClr val="0070C0"/>
              </a:solidFill>
              <a:latin typeface="Calibri"/>
            </a:rPr>
            <a:pPr algn="ctr"/>
            <a:t>Lrec = 84 (cm)</a:t>
          </a:fld>
          <a:endParaRPr lang="fr-FR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8</xdr:col>
      <xdr:colOff>93592</xdr:colOff>
      <xdr:row>30</xdr:row>
      <xdr:rowOff>114300</xdr:rowOff>
    </xdr:from>
    <xdr:to>
      <xdr:col>9</xdr:col>
      <xdr:colOff>626617</xdr:colOff>
      <xdr:row>30</xdr:row>
      <xdr:rowOff>114300</xdr:rowOff>
    </xdr:to>
    <xdr:cxnSp macro="">
      <xdr:nvCxnSpPr>
        <xdr:cNvPr id="22" name="Straight Arrow Connector 21" descr="lklklklklkl"/>
        <xdr:cNvCxnSpPr/>
      </xdr:nvCxnSpPr>
      <xdr:spPr>
        <a:xfrm>
          <a:off x="6865867" y="7038975"/>
          <a:ext cx="1476000" cy="0"/>
        </a:xfrm>
        <a:prstGeom prst="straightConnector1">
          <a:avLst/>
        </a:prstGeom>
        <a:ln w="6350">
          <a:solidFill>
            <a:srgbClr val="0070C0"/>
          </a:solidFill>
          <a:headEnd type="triangle" w="med" len="sm"/>
          <a:tailEnd type="triangle" w="med" len="sm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255518</xdr:colOff>
      <xdr:row>31</xdr:row>
      <xdr:rowOff>152400</xdr:rowOff>
    </xdr:from>
    <xdr:to>
      <xdr:col>9</xdr:col>
      <xdr:colOff>485775</xdr:colOff>
      <xdr:row>33</xdr:row>
      <xdr:rowOff>28575</xdr:rowOff>
    </xdr:to>
    <xdr:sp macro="" textlink="Lrp">
      <xdr:nvSpPr>
        <xdr:cNvPr id="23" name="TextBox 22"/>
        <xdr:cNvSpPr txBox="1"/>
      </xdr:nvSpPr>
      <xdr:spPr>
        <a:xfrm>
          <a:off x="7027793" y="7277100"/>
          <a:ext cx="1173232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fld id="{C0177520-5C02-4EE3-B055-A11A78895B00}" type="TxLink">
            <a:rPr lang="en-US" sz="1100" b="1" i="0" u="none" strike="noStrike">
              <a:solidFill>
                <a:srgbClr val="0070C0"/>
              </a:solidFill>
              <a:latin typeface="Calibri"/>
            </a:rPr>
            <a:pPr algn="ctr"/>
            <a:t>Lrec = 84 (cm)</a:t>
          </a:fld>
          <a:endParaRPr lang="fr-FR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1</xdr:col>
      <xdr:colOff>438150</xdr:colOff>
      <xdr:row>23</xdr:row>
      <xdr:rowOff>19050</xdr:rowOff>
    </xdr:from>
    <xdr:to>
      <xdr:col>2</xdr:col>
      <xdr:colOff>714375</xdr:colOff>
      <xdr:row>24</xdr:row>
      <xdr:rowOff>190500</xdr:rowOff>
    </xdr:to>
    <xdr:sp macro="" textlink="$D$24">
      <xdr:nvSpPr>
        <xdr:cNvPr id="26" name="TextBox 25"/>
        <xdr:cNvSpPr txBox="1"/>
      </xdr:nvSpPr>
      <xdr:spPr>
        <a:xfrm>
          <a:off x="685800" y="5591175"/>
          <a:ext cx="11906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fld id="{81F8234F-1E4B-4C12-9298-1B1F322B6DE8}" type="TxLink">
            <a:rPr lang="en-US" sz="1200" b="1" i="0" u="none" strike="noStrike">
              <a:solidFill>
                <a:srgbClr val="0070C0"/>
              </a:solidFill>
              <a:latin typeface="Arial Narrow"/>
            </a:rPr>
            <a:pPr/>
            <a:t>Asmin= 5.25 cm²</a:t>
          </a:fld>
          <a:endParaRPr lang="fr-FR" sz="1100" b="1">
            <a:solidFill>
              <a:srgbClr val="0070C0"/>
            </a:solidFill>
          </a:endParaRPr>
        </a:p>
      </xdr:txBody>
    </xdr:sp>
    <xdr:clientData/>
  </xdr:twoCellAnchor>
  <xdr:twoCellAnchor editAs="oneCell">
    <xdr:from>
      <xdr:col>14</xdr:col>
      <xdr:colOff>438150</xdr:colOff>
      <xdr:row>1</xdr:row>
      <xdr:rowOff>19050</xdr:rowOff>
    </xdr:from>
    <xdr:to>
      <xdr:col>14</xdr:col>
      <xdr:colOff>942150</xdr:colOff>
      <xdr:row>2</xdr:row>
      <xdr:rowOff>227775</xdr:rowOff>
    </xdr:to>
    <xdr:pic>
      <xdr:nvPicPr>
        <xdr:cNvPr id="25" name="Picture 24" descr="Logo Morsli.png"/>
        <xdr:cNvPicPr>
          <a:picLocks noChangeAspect="1"/>
        </xdr:cNvPicPr>
      </xdr:nvPicPr>
      <xdr:blipFill>
        <a:blip xmlns:r="http://schemas.openxmlformats.org/officeDocument/2006/relationships" r:embed="rId3" cstate="print">
          <a:lum bright="-30000"/>
        </a:blip>
        <a:stretch>
          <a:fillRect/>
        </a:stretch>
      </xdr:blipFill>
      <xdr:spPr>
        <a:xfrm>
          <a:off x="11820525" y="104775"/>
          <a:ext cx="504000" cy="50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2</xdr:row>
      <xdr:rowOff>0</xdr:rowOff>
    </xdr:from>
    <xdr:to>
      <xdr:col>12</xdr:col>
      <xdr:colOff>400050</xdr:colOff>
      <xdr:row>3</xdr:row>
      <xdr:rowOff>485775</xdr:rowOff>
    </xdr:to>
    <xdr:pic>
      <xdr:nvPicPr>
        <xdr:cNvPr id="2" name="Picture 1" descr="ChatGPT Image 6 déc. 2025, 16_58_40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34175" y="390525"/>
          <a:ext cx="981075" cy="981075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209550</xdr:colOff>
      <xdr:row>3</xdr:row>
      <xdr:rowOff>180975</xdr:rowOff>
    </xdr:from>
    <xdr:to>
      <xdr:col>10</xdr:col>
      <xdr:colOff>323850</xdr:colOff>
      <xdr:row>11</xdr:row>
      <xdr:rowOff>180975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39325" y="752475"/>
          <a:ext cx="1638300" cy="1666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bbc/Desktop/02-EXCELCALCS/PILE%20Analysis_Design%201.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xcel%20RPA2024/RC%20SHEAR%20WALL%201.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ERRAILLAGE%20DES%20VOILLES+Enveloppe%20RPA2024%20(version%201.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haine%20youtube/CHAIBEDRA%20BELKACEM/Video/Video%2010/SEANCE%2019/Effort%20tranchan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Report"/>
      <sheetName val="fem"/>
    </sheetNames>
    <sheetDataSet>
      <sheetData sheetId="0">
        <row r="8">
          <cell r="HQ8">
            <v>1884.9555921538758</v>
          </cell>
        </row>
        <row r="10">
          <cell r="FL10">
            <v>677.66808265220084</v>
          </cell>
          <cell r="GN10">
            <v>2820.5611543010864</v>
          </cell>
        </row>
        <row r="13">
          <cell r="GN13">
            <v>0.33183072403542191</v>
          </cell>
          <cell r="HQ13">
            <v>140.74335088082273</v>
          </cell>
        </row>
        <row r="16">
          <cell r="EB16">
            <v>468.87892041829542</v>
          </cell>
          <cell r="GJ16">
            <v>155.71896717694244</v>
          </cell>
          <cell r="IR16">
            <v>254.02682628413021</v>
          </cell>
        </row>
        <row r="18">
          <cell r="FL18">
            <v>0.39629790845227164</v>
          </cell>
        </row>
        <row r="19">
          <cell r="KZ19">
            <v>7</v>
          </cell>
        </row>
        <row r="20">
          <cell r="HQ20">
            <v>2613.8050877867081</v>
          </cell>
        </row>
        <row r="22">
          <cell r="EB22">
            <v>1402.1193036933544</v>
          </cell>
        </row>
        <row r="25">
          <cell r="HQ25">
            <v>157.07963267948966</v>
          </cell>
        </row>
        <row r="29">
          <cell r="FG29">
            <v>1257.3600000000001</v>
          </cell>
        </row>
        <row r="30">
          <cell r="EB30">
            <v>7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yfa1"/>
      <sheetName val="Sayfa2"/>
      <sheetName val="Sayfa3"/>
    </sheetNames>
    <sheetDataSet>
      <sheetData sheetId="0">
        <row r="16">
          <cell r="M16">
            <v>500</v>
          </cell>
        </row>
        <row r="17">
          <cell r="M17">
            <v>220</v>
          </cell>
        </row>
        <row r="18">
          <cell r="M18">
            <v>30</v>
          </cell>
        </row>
        <row r="23">
          <cell r="AQ23">
            <v>5000</v>
          </cell>
        </row>
        <row r="24">
          <cell r="AQ24">
            <v>300</v>
          </cell>
        </row>
        <row r="25">
          <cell r="AQ25">
            <v>500</v>
          </cell>
        </row>
        <row r="26">
          <cell r="AQ26">
            <v>250</v>
          </cell>
        </row>
        <row r="27">
          <cell r="AQ27">
            <v>400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erraillage Voile"/>
      <sheetName val="Enveloppe"/>
      <sheetName val="Calcul"/>
      <sheetName val="Note ce calcul"/>
      <sheetName val="About"/>
    </sheetNames>
    <sheetDataSet>
      <sheetData sheetId="0"/>
      <sheetData sheetId="1">
        <row r="31">
          <cell r="I31">
            <v>0</v>
          </cell>
        </row>
        <row r="32">
          <cell r="I32">
            <v>3.06</v>
          </cell>
        </row>
        <row r="33">
          <cell r="I33">
            <v>6.12</v>
          </cell>
        </row>
        <row r="34">
          <cell r="I34">
            <v>9.18</v>
          </cell>
        </row>
        <row r="35">
          <cell r="I35">
            <v>12.24</v>
          </cell>
        </row>
        <row r="36">
          <cell r="I36">
            <v>15.3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Vérification"/>
      <sheetName val="Résultats"/>
      <sheetName val="Feuil3"/>
      <sheetName val="Feuil4"/>
    </sheetNames>
    <sheetDataSet>
      <sheetData sheetId="0"/>
      <sheetData sheetId="1" refreshError="1"/>
      <sheetData sheetId="2" refreshError="1"/>
      <sheetData sheetId="3">
        <row r="3">
          <cell r="B3" t="str">
            <v>Fissuration peu nuisible</v>
          </cell>
        </row>
        <row r="4">
          <cell r="B4" t="str">
            <v xml:space="preserve">Fissuration préjudiciable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wrap="square" rtlCol="0" anchor="t"/>
      <a:lstStyle>
        <a:defPPr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mailto:hammoutota@gmail.com" TargetMode="External"/><Relationship Id="rId1" Type="http://schemas.openxmlformats.org/officeDocument/2006/relationships/hyperlink" Target="https://t.me/MorsliHammou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N997"/>
  <sheetViews>
    <sheetView showGridLines="0" zoomScaleNormal="100" workbookViewId="0">
      <selection activeCell="I5" sqref="I5"/>
    </sheetView>
  </sheetViews>
  <sheetFormatPr defaultColWidth="14.42578125" defaultRowHeight="15" customHeight="1"/>
  <cols>
    <col min="1" max="1" width="2.85546875" style="17" customWidth="1"/>
    <col min="2" max="2" width="4.85546875" style="17" customWidth="1"/>
    <col min="3" max="3" width="11.42578125" style="17" customWidth="1"/>
    <col min="4" max="7" width="15.7109375" style="17" customWidth="1"/>
    <col min="8" max="8" width="13.85546875" style="17" customWidth="1"/>
    <col min="9" max="9" width="16.85546875" style="17" customWidth="1"/>
    <col min="10" max="10" width="6.7109375" style="17" customWidth="1"/>
    <col min="11" max="14" width="13.7109375" style="17" customWidth="1"/>
    <col min="15" max="21" width="11.42578125" style="17" customWidth="1"/>
    <col min="22" max="16384" width="14.42578125" style="17"/>
  </cols>
  <sheetData>
    <row r="1" spans="2:13" ht="11.25" customHeight="1" thickBot="1">
      <c r="B1" s="141"/>
      <c r="C1" s="142"/>
      <c r="D1" s="142"/>
    </row>
    <row r="2" spans="2:13" ht="21" customHeight="1" thickTop="1">
      <c r="B2" s="18"/>
      <c r="D2" s="143" t="s">
        <v>12</v>
      </c>
      <c r="E2" s="144"/>
      <c r="F2" s="144"/>
      <c r="G2" s="144"/>
      <c r="H2" s="144"/>
      <c r="I2" s="144"/>
      <c r="J2" s="144"/>
      <c r="K2" s="144"/>
      <c r="L2" s="144"/>
      <c r="M2" s="145"/>
    </row>
    <row r="3" spans="2:13" ht="24" customHeight="1" thickBot="1">
      <c r="B3" s="18"/>
      <c r="D3" s="107" t="s">
        <v>10</v>
      </c>
      <c r="E3" s="108" t="str">
        <f>CALCUL!$C$3</f>
        <v>Vers 2,00</v>
      </c>
      <c r="F3" s="109"/>
      <c r="G3" s="109"/>
      <c r="H3" s="109"/>
      <c r="I3" s="109"/>
      <c r="J3" s="109"/>
      <c r="K3" s="109"/>
      <c r="L3" s="109"/>
      <c r="M3" s="110"/>
    </row>
    <row r="4" spans="2:13" ht="15" customHeight="1" thickTop="1" thickBot="1"/>
    <row r="5" spans="2:13" ht="18" customHeight="1" thickTop="1" thickBot="1">
      <c r="D5" s="138" t="s">
        <v>121</v>
      </c>
      <c r="E5" s="139"/>
      <c r="F5" s="139"/>
      <c r="G5" s="140"/>
      <c r="K5" s="25"/>
      <c r="L5" s="26"/>
      <c r="M5" s="27"/>
    </row>
    <row r="6" spans="2:13" ht="15.75" customHeight="1" thickTop="1" thickBot="1">
      <c r="B6" s="19" t="s">
        <v>117</v>
      </c>
      <c r="C6" s="19"/>
      <c r="D6" s="146" t="s">
        <v>32</v>
      </c>
      <c r="E6" s="147"/>
      <c r="F6" s="21" t="s">
        <v>33</v>
      </c>
      <c r="G6" s="21" t="s">
        <v>34</v>
      </c>
      <c r="K6" s="28"/>
      <c r="L6" s="29"/>
      <c r="M6" s="30"/>
    </row>
    <row r="7" spans="2:13" ht="17.25" thickTop="1" thickBot="1">
      <c r="B7" s="19"/>
      <c r="C7" s="19"/>
      <c r="D7" s="136" t="s">
        <v>29</v>
      </c>
      <c r="E7" s="137"/>
      <c r="F7" s="134" t="s">
        <v>130</v>
      </c>
      <c r="G7" s="135"/>
      <c r="K7" s="28"/>
      <c r="L7" s="29"/>
      <c r="M7" s="30"/>
    </row>
    <row r="8" spans="2:13" ht="17.25" thickTop="1" thickBot="1">
      <c r="B8" s="19"/>
      <c r="C8" s="19"/>
      <c r="D8" s="136" t="s">
        <v>30</v>
      </c>
      <c r="E8" s="137"/>
      <c r="F8" s="134">
        <v>400</v>
      </c>
      <c r="G8" s="135"/>
      <c r="H8" s="150"/>
      <c r="I8" s="151"/>
      <c r="J8" s="152"/>
      <c r="K8" s="28"/>
      <c r="L8" s="29"/>
      <c r="M8" s="30"/>
    </row>
    <row r="9" spans="2:13" ht="20.25" thickTop="1" thickBot="1">
      <c r="B9" s="19"/>
      <c r="C9" s="19"/>
      <c r="D9" s="136" t="s">
        <v>45</v>
      </c>
      <c r="E9" s="137"/>
      <c r="F9" s="134">
        <v>25</v>
      </c>
      <c r="G9" s="135"/>
      <c r="H9" s="153" t="str">
        <f>"Asmin = "&amp;IF(OR(F7="I",F7="II"),0.8%*F12*G12,IF(F7="III",0.9%*F12*G12,1%*F12*G12))&amp;" cm²"</f>
        <v>Asmin = 12.8 cm²</v>
      </c>
      <c r="I9" s="154"/>
      <c r="J9" s="155"/>
      <c r="K9" s="28"/>
      <c r="L9" s="29"/>
      <c r="M9" s="30"/>
    </row>
    <row r="10" spans="2:13" ht="20.25" thickTop="1" thickBot="1">
      <c r="B10" s="19"/>
      <c r="C10" s="19"/>
      <c r="D10" s="136" t="s">
        <v>46</v>
      </c>
      <c r="E10" s="137"/>
      <c r="F10" s="148">
        <v>1.6</v>
      </c>
      <c r="G10" s="149"/>
      <c r="H10" s="24"/>
      <c r="I10" s="24"/>
      <c r="J10" s="24"/>
      <c r="K10" s="28"/>
      <c r="L10" s="29"/>
      <c r="M10" s="30"/>
    </row>
    <row r="11" spans="2:13" ht="17.25" thickTop="1" thickBot="1">
      <c r="B11" s="19"/>
      <c r="C11" s="19"/>
      <c r="D11" s="136" t="s">
        <v>31</v>
      </c>
      <c r="E11" s="137"/>
      <c r="F11" s="134">
        <v>5.2</v>
      </c>
      <c r="G11" s="135"/>
      <c r="H11" s="24"/>
      <c r="I11" s="24"/>
      <c r="J11" s="24"/>
      <c r="K11" s="28"/>
      <c r="L11" s="29"/>
      <c r="M11" s="30"/>
    </row>
    <row r="12" spans="2:13" ht="20.25" thickTop="1" thickBot="1">
      <c r="B12" s="19"/>
      <c r="C12" s="19"/>
      <c r="D12" s="136" t="s">
        <v>47</v>
      </c>
      <c r="E12" s="137"/>
      <c r="F12" s="1">
        <v>40</v>
      </c>
      <c r="G12" s="1">
        <v>40</v>
      </c>
      <c r="H12" s="24"/>
      <c r="I12" s="24"/>
      <c r="J12" s="24"/>
      <c r="K12" s="28"/>
      <c r="L12" s="29"/>
      <c r="M12" s="30"/>
    </row>
    <row r="13" spans="2:13" ht="20.25" thickTop="1" thickBot="1">
      <c r="B13" s="19"/>
      <c r="C13" s="19"/>
      <c r="D13" s="136" t="s">
        <v>48</v>
      </c>
      <c r="E13" s="137"/>
      <c r="F13" s="124">
        <v>3</v>
      </c>
      <c r="G13" s="125"/>
      <c r="H13" s="24"/>
      <c r="I13" s="24"/>
      <c r="J13" s="24"/>
      <c r="K13" s="28"/>
      <c r="L13" s="29"/>
      <c r="M13" s="30"/>
    </row>
    <row r="14" spans="2:13" ht="20.25" thickTop="1" thickBot="1">
      <c r="D14" s="136" t="s">
        <v>49</v>
      </c>
      <c r="E14" s="137"/>
      <c r="F14" s="2">
        <v>15</v>
      </c>
      <c r="G14" s="2">
        <v>15</v>
      </c>
      <c r="H14" s="24"/>
      <c r="I14" s="24"/>
      <c r="J14" s="24"/>
      <c r="K14" s="28"/>
      <c r="L14" s="29"/>
      <c r="M14" s="30"/>
    </row>
    <row r="15" spans="2:13" ht="20.25" thickTop="1" thickBot="1">
      <c r="B15" s="20"/>
      <c r="C15" s="20"/>
      <c r="D15" s="22" t="s">
        <v>36</v>
      </c>
      <c r="E15" s="22" t="s">
        <v>35</v>
      </c>
      <c r="F15" s="22" t="s">
        <v>38</v>
      </c>
      <c r="G15" s="22" t="s">
        <v>37</v>
      </c>
      <c r="H15" s="24"/>
      <c r="I15" s="24"/>
      <c r="J15" s="24"/>
      <c r="K15" s="28"/>
      <c r="L15" s="29"/>
      <c r="M15" s="30"/>
    </row>
    <row r="16" spans="2:13" ht="15" customHeight="1" thickTop="1" thickBot="1">
      <c r="B16" s="20"/>
      <c r="C16" s="20"/>
      <c r="D16" s="4">
        <f>CALCUL!G20</f>
        <v>1.2</v>
      </c>
      <c r="E16" s="23">
        <f>G16*F16^2*PI()/4</f>
        <v>6.2831853071795862</v>
      </c>
      <c r="F16" s="2">
        <v>1</v>
      </c>
      <c r="G16" s="3">
        <v>8</v>
      </c>
      <c r="H16" s="24"/>
      <c r="I16" s="24"/>
      <c r="J16" s="24"/>
      <c r="K16" s="28"/>
      <c r="L16" s="29"/>
      <c r="M16" s="30"/>
    </row>
    <row r="17" spans="2:14" ht="21" thickTop="1" thickBot="1">
      <c r="B17" s="20"/>
      <c r="C17" s="20"/>
      <c r="D17" s="119" t="s">
        <v>50</v>
      </c>
      <c r="E17" s="120"/>
      <c r="F17" s="4">
        <f>CALCUL!C16</f>
        <v>9.0999999999999979</v>
      </c>
      <c r="G17" s="4">
        <f>CALCUL!C17</f>
        <v>9.0999999999999979</v>
      </c>
      <c r="H17" s="24"/>
      <c r="I17" s="24"/>
      <c r="J17" s="24"/>
      <c r="K17" s="28"/>
      <c r="L17" s="31"/>
      <c r="M17" s="30"/>
    </row>
    <row r="18" spans="2:14" ht="20.25" thickTop="1" thickBot="1">
      <c r="B18" s="20"/>
      <c r="C18" s="20"/>
      <c r="D18" s="121" t="s">
        <v>51</v>
      </c>
      <c r="E18" s="120"/>
      <c r="F18" s="4">
        <f>CALCUL!D16</f>
        <v>2.5</v>
      </c>
      <c r="G18" s="4">
        <f>CALCUL!D17</f>
        <v>2.5</v>
      </c>
      <c r="H18" s="24"/>
      <c r="I18" s="24"/>
      <c r="J18" s="24"/>
      <c r="K18" s="28"/>
      <c r="L18" s="29"/>
      <c r="M18" s="30"/>
      <c r="N18" s="17" t="s">
        <v>56</v>
      </c>
    </row>
    <row r="19" spans="2:14" ht="17.25" thickTop="1" thickBot="1">
      <c r="B19" s="20"/>
      <c r="C19" s="20"/>
      <c r="D19" s="117" t="s">
        <v>39</v>
      </c>
      <c r="E19" s="5" t="s">
        <v>40</v>
      </c>
      <c r="F19" s="122">
        <f>CALCUL!G12</f>
        <v>12.5</v>
      </c>
      <c r="G19" s="123"/>
      <c r="H19" s="24"/>
      <c r="I19" s="24"/>
      <c r="J19" s="24"/>
      <c r="K19" s="28"/>
      <c r="L19" s="29"/>
      <c r="M19" s="30"/>
    </row>
    <row r="20" spans="2:14" ht="15" customHeight="1" thickTop="1" thickBot="1">
      <c r="B20" s="20"/>
      <c r="C20" s="20"/>
      <c r="D20" s="118"/>
      <c r="E20" s="5" t="s">
        <v>41</v>
      </c>
      <c r="F20" s="122">
        <f>CALCUL!H12</f>
        <v>24</v>
      </c>
      <c r="G20" s="123"/>
      <c r="K20" s="28"/>
      <c r="L20" s="29"/>
      <c r="M20" s="30"/>
    </row>
    <row r="21" spans="2:14" ht="17.25" thickTop="1" thickBot="1">
      <c r="B21" s="20"/>
      <c r="C21" s="20"/>
      <c r="D21" s="117" t="s">
        <v>42</v>
      </c>
      <c r="E21" s="5" t="s">
        <v>40</v>
      </c>
      <c r="F21" s="124">
        <v>10</v>
      </c>
      <c r="G21" s="125"/>
      <c r="K21" s="28"/>
      <c r="L21" s="29"/>
      <c r="M21" s="30"/>
    </row>
    <row r="22" spans="2:14" ht="17.25" thickTop="1" thickBot="1">
      <c r="B22" s="20"/>
      <c r="C22" s="20"/>
      <c r="D22" s="118"/>
      <c r="E22" s="5" t="s">
        <v>41</v>
      </c>
      <c r="F22" s="124">
        <v>20</v>
      </c>
      <c r="G22" s="125"/>
      <c r="K22" s="28"/>
      <c r="L22" s="29"/>
      <c r="M22" s="30"/>
    </row>
    <row r="23" spans="2:14" ht="15.75" customHeight="1" thickTop="1" thickBot="1">
      <c r="B23" s="20"/>
      <c r="C23" s="20"/>
      <c r="D23" s="126" t="str">
        <f>IF(AND(E16&gt;=D16,F21&lt;=F19,F22&lt;=F20),"Condition vérifiée","Condition non vérifiée")</f>
        <v>Condition vérifiée</v>
      </c>
      <c r="E23" s="127"/>
      <c r="F23" s="127"/>
      <c r="G23" s="127"/>
      <c r="J23" s="17" t="s">
        <v>56</v>
      </c>
      <c r="K23" s="28"/>
      <c r="L23" s="29"/>
      <c r="M23" s="30"/>
    </row>
    <row r="24" spans="2:14" ht="15.75" customHeight="1" thickTop="1">
      <c r="B24" s="20"/>
      <c r="C24" s="20"/>
      <c r="D24" s="128" t="str">
        <f>IF(E16&lt;D16," Remarque : La quantité d'armatures transversales choisie est inférieure à la quantité minimale",IF(F22&gt;F20,"Remarque : L'espacement choisi sur la zone courante dépasse l'espacement calculé",IF(F21&gt;F19,"Remarque : L'espacement choisi sur la zone nodale dépasse l'espacement calculé"," ")))</f>
        <v xml:space="preserve"> </v>
      </c>
      <c r="E24" s="129"/>
      <c r="F24" s="129"/>
      <c r="G24" s="130"/>
      <c r="K24" s="28"/>
      <c r="L24" s="29"/>
      <c r="M24" s="30"/>
    </row>
    <row r="25" spans="2:14" ht="15.75" customHeight="1" thickBot="1">
      <c r="B25" s="20"/>
      <c r="C25" s="20"/>
      <c r="D25" s="131"/>
      <c r="E25" s="132"/>
      <c r="F25" s="132"/>
      <c r="G25" s="133"/>
      <c r="K25" s="28"/>
      <c r="L25" s="29"/>
      <c r="M25" s="30"/>
    </row>
    <row r="26" spans="2:14" ht="18.75" thickTop="1" thickBot="1">
      <c r="D26" s="112" t="s">
        <v>52</v>
      </c>
      <c r="E26" s="113"/>
      <c r="F26" s="113"/>
      <c r="G26" s="114"/>
      <c r="K26" s="28"/>
      <c r="L26" s="29"/>
      <c r="M26" s="30"/>
    </row>
    <row r="27" spans="2:14" ht="15.75" customHeight="1" thickTop="1" thickBot="1">
      <c r="D27" s="115" t="s">
        <v>53</v>
      </c>
      <c r="E27" s="116"/>
      <c r="F27" s="115" t="s">
        <v>54</v>
      </c>
      <c r="G27" s="116"/>
      <c r="K27" s="28"/>
      <c r="L27" s="29"/>
      <c r="M27" s="30"/>
    </row>
    <row r="28" spans="2:14" ht="18.75" thickTop="1" thickBot="1">
      <c r="D28" s="6" t="s">
        <v>57</v>
      </c>
      <c r="E28" s="4">
        <f>$F$17</f>
        <v>9.0999999999999979</v>
      </c>
      <c r="F28" s="6" t="s">
        <v>57</v>
      </c>
      <c r="G28" s="4">
        <f>$G$17</f>
        <v>9.0999999999999979</v>
      </c>
      <c r="K28" s="28"/>
      <c r="L28" s="29"/>
      <c r="M28" s="30"/>
    </row>
    <row r="29" spans="2:14" ht="17.25" thickTop="1" thickBot="1">
      <c r="D29" s="5" t="s">
        <v>55</v>
      </c>
      <c r="E29" s="4">
        <f>IF(E28&gt;=5,0.075,0.04)</f>
        <v>7.4999999999999997E-2</v>
      </c>
      <c r="F29" s="5" t="s">
        <v>55</v>
      </c>
      <c r="G29" s="4">
        <f>IF(G28&gt;=5,0.075,0.04)</f>
        <v>7.4999999999999997E-2</v>
      </c>
      <c r="K29" s="28"/>
      <c r="L29" s="29"/>
      <c r="M29" s="30"/>
    </row>
    <row r="30" spans="2:14" ht="18.75" thickTop="1" thickBot="1">
      <c r="D30" s="6" t="s">
        <v>59</v>
      </c>
      <c r="E30" s="4">
        <f>E29*F9</f>
        <v>1.875</v>
      </c>
      <c r="F30" s="6" t="s">
        <v>59</v>
      </c>
      <c r="G30" s="4">
        <f>F9*G29</f>
        <v>1.875</v>
      </c>
      <c r="K30" s="28"/>
      <c r="L30" s="29"/>
      <c r="M30" s="30"/>
    </row>
    <row r="31" spans="2:14" ht="20.25" thickTop="1" thickBot="1">
      <c r="D31" s="5" t="s">
        <v>58</v>
      </c>
      <c r="E31" s="4">
        <f>F14</f>
        <v>15</v>
      </c>
      <c r="F31" s="5" t="s">
        <v>60</v>
      </c>
      <c r="G31" s="4">
        <f>G14</f>
        <v>15</v>
      </c>
      <c r="K31" s="28"/>
      <c r="L31" s="29"/>
      <c r="M31" s="30"/>
    </row>
    <row r="32" spans="2:14" ht="18.75" thickTop="1" thickBot="1">
      <c r="D32" s="6" t="s">
        <v>61</v>
      </c>
      <c r="E32" s="4">
        <f>E31*10/(F12*0.9*G12)</f>
        <v>0.10416666666666667</v>
      </c>
      <c r="F32" s="6" t="s">
        <v>61</v>
      </c>
      <c r="G32" s="4">
        <f>G31*10/(G12*0.9*F12)</f>
        <v>0.10416666666666667</v>
      </c>
      <c r="K32" s="28"/>
      <c r="L32" s="29"/>
      <c r="M32" s="30"/>
    </row>
    <row r="33" spans="4:13" ht="17.25" thickTop="1" thickBot="1">
      <c r="D33" s="5" t="s">
        <v>62</v>
      </c>
      <c r="E33" s="7" t="str">
        <f>IF(E32&lt;=E30,"OK","C.N.V")</f>
        <v>OK</v>
      </c>
      <c r="F33" s="5" t="s">
        <v>62</v>
      </c>
      <c r="G33" s="7" t="str">
        <f>IF(G32&lt;=G30,"OK","C.N.V")</f>
        <v>OK</v>
      </c>
      <c r="K33" s="32"/>
      <c r="L33" s="33"/>
      <c r="M33" s="34"/>
    </row>
    <row r="34" spans="4:13" ht="15.75" customHeight="1" thickTop="1"/>
    <row r="35" spans="4:13" ht="15.75" customHeight="1"/>
    <row r="36" spans="4:13" ht="15.75" customHeight="1"/>
    <row r="37" spans="4:13" ht="15.75" customHeight="1"/>
    <row r="38" spans="4:13" ht="15.75" customHeight="1"/>
    <row r="39" spans="4:13" ht="15.75" customHeight="1"/>
    <row r="40" spans="4:13" ht="15.75" customHeight="1"/>
    <row r="41" spans="4:13" ht="15.75" customHeight="1"/>
    <row r="42" spans="4:13" ht="15.75" customHeight="1"/>
    <row r="43" spans="4:13" ht="15.75" customHeight="1"/>
    <row r="44" spans="4:13" ht="15.75" customHeight="1"/>
    <row r="45" spans="4:13" ht="15.75" customHeight="1"/>
    <row r="46" spans="4:13" ht="15.75" customHeight="1"/>
    <row r="47" spans="4:13" ht="15.75" customHeight="1"/>
    <row r="48" spans="4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3">
    <mergeCell ref="D5:G5"/>
    <mergeCell ref="B1:D1"/>
    <mergeCell ref="D8:E8"/>
    <mergeCell ref="D9:E9"/>
    <mergeCell ref="D10:E10"/>
    <mergeCell ref="D2:M2"/>
    <mergeCell ref="D6:E6"/>
    <mergeCell ref="F7:G7"/>
    <mergeCell ref="F8:G8"/>
    <mergeCell ref="F9:G9"/>
    <mergeCell ref="F10:G10"/>
    <mergeCell ref="D7:E7"/>
    <mergeCell ref="H8:J8"/>
    <mergeCell ref="H9:J9"/>
    <mergeCell ref="F11:G11"/>
    <mergeCell ref="D12:E12"/>
    <mergeCell ref="D13:E13"/>
    <mergeCell ref="F13:G13"/>
    <mergeCell ref="D14:E14"/>
    <mergeCell ref="D11:E11"/>
    <mergeCell ref="D26:G26"/>
    <mergeCell ref="D27:E27"/>
    <mergeCell ref="F27:G27"/>
    <mergeCell ref="D19:D20"/>
    <mergeCell ref="D17:E17"/>
    <mergeCell ref="D18:E18"/>
    <mergeCell ref="F19:G19"/>
    <mergeCell ref="F20:G20"/>
    <mergeCell ref="D21:D22"/>
    <mergeCell ref="F21:G21"/>
    <mergeCell ref="F22:G22"/>
    <mergeCell ref="D23:G23"/>
    <mergeCell ref="D24:G25"/>
  </mergeCells>
  <conditionalFormatting sqref="D23:G23">
    <cfRule type="cellIs" dxfId="3" priority="4" operator="equal">
      <formula>"Condition non vérifiée"</formula>
    </cfRule>
  </conditionalFormatting>
  <conditionalFormatting sqref="E33 G33">
    <cfRule type="cellIs" dxfId="2" priority="2" operator="equal">
      <formula>"C.N.V"</formula>
    </cfRule>
  </conditionalFormatting>
  <dataValidations count="4">
    <dataValidation type="list" allowBlank="1" showErrorMessage="1" sqref="F16">
      <formula1>CALCUL!C78:C81</formula1>
    </dataValidation>
    <dataValidation type="list" allowBlank="1" showInputMessage="1" showErrorMessage="1" sqref="F8:G8">
      <formula1>CALCUL!D78:D81</formula1>
    </dataValidation>
    <dataValidation type="list" allowBlank="1" showInputMessage="1" showErrorMessage="1" sqref="F10:G10">
      <formula1>CALCUL!C81:C86</formula1>
    </dataValidation>
    <dataValidation type="list" allowBlank="1" showInputMessage="1" showErrorMessage="1" sqref="F7:G7">
      <formula1>"I,II,III,IV,V,VI"</formula1>
    </dataValidation>
  </dataValidations>
  <pageMargins left="0.7" right="0.7" top="0.75" bottom="0.75" header="0" footer="0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Q999"/>
  <sheetViews>
    <sheetView showGridLines="0" tabSelected="1" zoomScaleNormal="100" workbookViewId="0">
      <selection activeCell="R9" sqref="R9"/>
    </sheetView>
  </sheetViews>
  <sheetFormatPr defaultColWidth="14.42578125" defaultRowHeight="15" customHeight="1"/>
  <cols>
    <col min="1" max="1" width="3.7109375" style="16" customWidth="1"/>
    <col min="2" max="2" width="13.7109375" style="16" customWidth="1"/>
    <col min="3" max="3" width="17.7109375" style="16" bestFit="1" customWidth="1"/>
    <col min="4" max="4" width="15.7109375" style="16" customWidth="1"/>
    <col min="5" max="5" width="13.85546875" style="16" customWidth="1"/>
    <col min="6" max="6" width="4.5703125" style="16" customWidth="1"/>
    <col min="7" max="7" width="14.5703125" style="16" bestFit="1" customWidth="1"/>
    <col min="8" max="8" width="17.7109375" style="16" bestFit="1" customWidth="1"/>
    <col min="9" max="10" width="14.140625" style="16" customWidth="1"/>
    <col min="11" max="11" width="4.28515625" style="16" customWidth="1"/>
    <col min="12" max="13" width="11.42578125" style="16" customWidth="1"/>
    <col min="14" max="14" width="13.7109375" style="16" bestFit="1" customWidth="1"/>
    <col min="15" max="16384" width="14.42578125" style="16"/>
  </cols>
  <sheetData>
    <row r="1" spans="1:16" ht="6.75" customHeight="1" thickBot="1"/>
    <row r="2" spans="1:16" ht="23.25" customHeight="1">
      <c r="B2" s="172" t="s">
        <v>14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4"/>
    </row>
    <row r="3" spans="1:16" ht="20.100000000000001" customHeight="1" thickBot="1">
      <c r="B3" s="36" t="s">
        <v>13</v>
      </c>
      <c r="C3" s="37" t="str">
        <f>CALCUL!$C$3</f>
        <v>Vers 2,00</v>
      </c>
      <c r="D3" s="37"/>
      <c r="E3" s="37"/>
      <c r="F3" s="38"/>
      <c r="G3" s="38"/>
      <c r="H3" s="104"/>
      <c r="I3" s="156"/>
      <c r="J3" s="156"/>
      <c r="K3" s="105"/>
      <c r="L3" s="105"/>
      <c r="M3" s="105"/>
      <c r="N3" s="105"/>
      <c r="O3" s="106"/>
    </row>
    <row r="4" spans="1:16" ht="15.75" customHeight="1" thickBot="1"/>
    <row r="5" spans="1:16" ht="17.25" customHeight="1" thickTop="1" thickBot="1">
      <c r="A5" s="35"/>
      <c r="B5" s="164" t="s">
        <v>100</v>
      </c>
      <c r="C5" s="165"/>
      <c r="D5" s="165"/>
      <c r="E5" s="166"/>
      <c r="G5" s="161" t="s">
        <v>101</v>
      </c>
      <c r="H5" s="162"/>
      <c r="I5" s="162"/>
      <c r="J5" s="163"/>
      <c r="L5" s="164" t="s">
        <v>131</v>
      </c>
      <c r="M5" s="165"/>
      <c r="N5" s="165"/>
      <c r="O5" s="166"/>
    </row>
    <row r="6" spans="1:16" ht="20.25" thickTop="1" thickBot="1">
      <c r="A6" s="35"/>
      <c r="B6" s="136" t="s">
        <v>64</v>
      </c>
      <c r="C6" s="137"/>
      <c r="D6" s="1">
        <v>30</v>
      </c>
      <c r="E6" s="1">
        <v>35</v>
      </c>
      <c r="G6" s="136" t="s">
        <v>49</v>
      </c>
      <c r="H6" s="137"/>
      <c r="I6" s="122">
        <f>D12</f>
        <v>47.82</v>
      </c>
      <c r="J6" s="123"/>
      <c r="L6" s="136" t="s">
        <v>64</v>
      </c>
      <c r="M6" s="137"/>
      <c r="N6" s="1">
        <v>30</v>
      </c>
      <c r="O6" s="1">
        <v>35</v>
      </c>
    </row>
    <row r="7" spans="1:16" ht="20.25" thickTop="1" thickBot="1">
      <c r="A7" s="35"/>
      <c r="B7" s="136" t="s">
        <v>48</v>
      </c>
      <c r="C7" s="137"/>
      <c r="D7" s="124">
        <v>2.5</v>
      </c>
      <c r="E7" s="125"/>
      <c r="G7" s="136" t="s">
        <v>29</v>
      </c>
      <c r="H7" s="137"/>
      <c r="I7" s="134" t="s">
        <v>113</v>
      </c>
      <c r="J7" s="135"/>
      <c r="L7" s="136" t="s">
        <v>92</v>
      </c>
      <c r="M7" s="137"/>
      <c r="N7" s="134" t="s">
        <v>93</v>
      </c>
      <c r="O7" s="135"/>
    </row>
    <row r="8" spans="1:16" ht="17.25" thickTop="1" thickBot="1">
      <c r="A8" s="35"/>
      <c r="B8" s="136" t="s">
        <v>30</v>
      </c>
      <c r="C8" s="137"/>
      <c r="D8" s="134">
        <v>400</v>
      </c>
      <c r="E8" s="135"/>
      <c r="G8" s="136" t="s">
        <v>92</v>
      </c>
      <c r="H8" s="137"/>
      <c r="I8" s="134" t="s">
        <v>93</v>
      </c>
      <c r="J8" s="135"/>
      <c r="L8" s="136" t="s">
        <v>30</v>
      </c>
      <c r="M8" s="137"/>
      <c r="N8" s="134">
        <v>500</v>
      </c>
      <c r="O8" s="135"/>
    </row>
    <row r="9" spans="1:16" ht="20.25" thickTop="1" thickBot="1">
      <c r="A9" s="35"/>
      <c r="B9" s="136" t="s">
        <v>45</v>
      </c>
      <c r="C9" s="137"/>
      <c r="D9" s="134">
        <v>25</v>
      </c>
      <c r="E9" s="135"/>
      <c r="G9" s="136" t="s">
        <v>91</v>
      </c>
      <c r="H9" s="137"/>
      <c r="I9" s="124">
        <v>50</v>
      </c>
      <c r="J9" s="125"/>
      <c r="L9" s="136" t="s">
        <v>45</v>
      </c>
      <c r="M9" s="137"/>
      <c r="N9" s="134">
        <v>25</v>
      </c>
      <c r="O9" s="135"/>
    </row>
    <row r="10" spans="1:16" ht="20.25" thickTop="1" thickBot="1">
      <c r="A10" s="35"/>
      <c r="B10" s="136" t="s">
        <v>46</v>
      </c>
      <c r="C10" s="137"/>
      <c r="D10" s="148">
        <v>1.4</v>
      </c>
      <c r="E10" s="149"/>
      <c r="G10" s="136" t="s">
        <v>94</v>
      </c>
      <c r="H10" s="137"/>
      <c r="I10" s="124">
        <v>10</v>
      </c>
      <c r="J10" s="125"/>
      <c r="L10" s="136" t="s">
        <v>49</v>
      </c>
      <c r="M10" s="137"/>
      <c r="N10" s="124">
        <v>47.82</v>
      </c>
      <c r="O10" s="125"/>
    </row>
    <row r="11" spans="1:16" ht="20.25" thickTop="1" thickBot="1">
      <c r="A11" s="35"/>
      <c r="B11" s="136" t="s">
        <v>65</v>
      </c>
      <c r="C11" s="137"/>
      <c r="D11" s="134" t="s">
        <v>66</v>
      </c>
      <c r="E11" s="135"/>
      <c r="G11" s="157" t="s">
        <v>81</v>
      </c>
      <c r="H11" s="158"/>
      <c r="I11" s="158"/>
      <c r="J11" s="159"/>
      <c r="L11" s="136" t="s">
        <v>132</v>
      </c>
      <c r="M11" s="137"/>
      <c r="N11" s="124">
        <v>9.8249999999999993</v>
      </c>
      <c r="O11" s="125"/>
    </row>
    <row r="12" spans="1:16" ht="20.25" thickTop="1" thickBot="1">
      <c r="A12" s="35"/>
      <c r="B12" s="136" t="s">
        <v>49</v>
      </c>
      <c r="C12" s="137"/>
      <c r="D12" s="124">
        <v>47.82</v>
      </c>
      <c r="E12" s="125"/>
      <c r="G12" s="48" t="s">
        <v>104</v>
      </c>
      <c r="H12" s="48" t="s">
        <v>107</v>
      </c>
      <c r="I12" s="160" t="s">
        <v>102</v>
      </c>
      <c r="J12" s="160"/>
      <c r="L12" s="177" t="s">
        <v>35</v>
      </c>
      <c r="M12" s="178"/>
      <c r="N12" s="22" t="s">
        <v>38</v>
      </c>
      <c r="O12" s="22" t="s">
        <v>37</v>
      </c>
    </row>
    <row r="13" spans="1:16" ht="20.25" customHeight="1" thickTop="1" thickBot="1">
      <c r="A13" s="35"/>
      <c r="B13" s="22" t="s">
        <v>36</v>
      </c>
      <c r="C13" s="22" t="s">
        <v>35</v>
      </c>
      <c r="D13" s="22" t="s">
        <v>38</v>
      </c>
      <c r="E13" s="22" t="s">
        <v>37</v>
      </c>
      <c r="G13" s="15">
        <f>CALCUL!B55</f>
        <v>0.50603174603174605</v>
      </c>
      <c r="H13" s="15">
        <f>CALCUL!C55</f>
        <v>3.3333333333333335</v>
      </c>
      <c r="I13" s="126" t="str">
        <f>IF(G13&lt;=H13,"Condition vérifiée","Condition non vérifiée")</f>
        <v>Condition vérifiée</v>
      </c>
      <c r="J13" s="127"/>
      <c r="L13" s="170">
        <f>O13*N13^2*PI()/4</f>
        <v>1.0053096491487339</v>
      </c>
      <c r="M13" s="171"/>
      <c r="N13" s="2">
        <v>0.8</v>
      </c>
      <c r="O13" s="3">
        <v>2</v>
      </c>
      <c r="P13" s="16" t="s">
        <v>56</v>
      </c>
    </row>
    <row r="14" spans="1:16" ht="17.25" thickTop="1" thickBot="1">
      <c r="A14" s="35"/>
      <c r="B14" s="4">
        <f>MAX((0.003*D18*D6),MIN(E6/35,D10,D6/10))</f>
        <v>1</v>
      </c>
      <c r="C14" s="23">
        <f>E14*D14^2*PI()/4</f>
        <v>2.0106192982974678</v>
      </c>
      <c r="D14" s="2">
        <v>0.8</v>
      </c>
      <c r="E14" s="3">
        <v>4</v>
      </c>
      <c r="G14" s="157" t="s">
        <v>98</v>
      </c>
      <c r="H14" s="158"/>
      <c r="I14" s="158"/>
      <c r="J14" s="159"/>
      <c r="L14" s="136" t="s">
        <v>133</v>
      </c>
      <c r="M14" s="137"/>
      <c r="N14" s="122">
        <f>N6/6</f>
        <v>5</v>
      </c>
      <c r="O14" s="123"/>
    </row>
    <row r="15" spans="1:16" ht="19.5" thickTop="1" thickBot="1">
      <c r="A15" s="35"/>
      <c r="B15" s="117" t="s">
        <v>39</v>
      </c>
      <c r="C15" s="5" t="s">
        <v>40</v>
      </c>
      <c r="D15" s="122">
        <f>CALCUL!$G$45</f>
        <v>8.3999999999999986</v>
      </c>
      <c r="E15" s="123"/>
      <c r="G15" s="48" t="s">
        <v>108</v>
      </c>
      <c r="H15" s="48" t="s">
        <v>97</v>
      </c>
      <c r="I15" s="160" t="s">
        <v>102</v>
      </c>
      <c r="J15" s="160"/>
      <c r="L15" s="136" t="s">
        <v>134</v>
      </c>
      <c r="M15" s="137"/>
      <c r="N15" s="122">
        <f>(N6-N14)*(O6-N14)</f>
        <v>750</v>
      </c>
      <c r="O15" s="123"/>
    </row>
    <row r="16" spans="1:16" ht="17.25" customHeight="1" thickTop="1" thickBot="1">
      <c r="A16" s="35"/>
      <c r="B16" s="118"/>
      <c r="C16" s="5" t="s">
        <v>41</v>
      </c>
      <c r="D16" s="122">
        <f>CALCUL!$H$45</f>
        <v>17.5</v>
      </c>
      <c r="E16" s="123"/>
      <c r="G16" s="15">
        <f>CALCUL!B59</f>
        <v>47.82</v>
      </c>
      <c r="H16" s="15">
        <f>CALCUL!C59</f>
        <v>911.13750000000005</v>
      </c>
      <c r="I16" s="126" t="str">
        <f>IF(G16&lt;=H16,"Condition vérifiée","Condition non vérifiée")</f>
        <v>Condition vérifiée</v>
      </c>
      <c r="J16" s="127"/>
      <c r="L16" s="136" t="s">
        <v>135</v>
      </c>
      <c r="M16" s="137"/>
      <c r="N16" s="122">
        <f>((N6-N14)+(O6-N14))*2</f>
        <v>110</v>
      </c>
      <c r="O16" s="123"/>
    </row>
    <row r="17" spans="1:17" ht="20.25" thickTop="1" thickBot="1">
      <c r="A17" s="35"/>
      <c r="B17" s="117" t="s">
        <v>42</v>
      </c>
      <c r="C17" s="5" t="s">
        <v>40</v>
      </c>
      <c r="D17" s="124">
        <v>8</v>
      </c>
      <c r="E17" s="125"/>
      <c r="G17" s="157" t="s">
        <v>84</v>
      </c>
      <c r="H17" s="158"/>
      <c r="I17" s="158"/>
      <c r="J17" s="159"/>
      <c r="L17" s="136" t="s">
        <v>137</v>
      </c>
      <c r="M17" s="137"/>
      <c r="N17" s="122">
        <f>(N10*1000)/((N6*10)*((O6-(O6/10))*10))</f>
        <v>0.50603174603174605</v>
      </c>
      <c r="O17" s="123"/>
    </row>
    <row r="18" spans="1:17" ht="20.25" thickTop="1" thickBot="1">
      <c r="A18" s="35"/>
      <c r="B18" s="118"/>
      <c r="C18" s="5" t="s">
        <v>41</v>
      </c>
      <c r="D18" s="124">
        <v>10</v>
      </c>
      <c r="E18" s="125"/>
      <c r="G18" s="49" t="s">
        <v>105</v>
      </c>
      <c r="H18" s="49" t="s">
        <v>103</v>
      </c>
      <c r="I18" s="160" t="s">
        <v>102</v>
      </c>
      <c r="J18" s="160"/>
      <c r="L18" s="136" t="s">
        <v>136</v>
      </c>
      <c r="M18" s="137"/>
      <c r="N18" s="122">
        <f>(N11*1000)/(2*N15*N14)</f>
        <v>1.31</v>
      </c>
      <c r="O18" s="123"/>
      <c r="P18" s="103"/>
      <c r="Q18" s="103"/>
    </row>
    <row r="19" spans="1:17" ht="17.25" customHeight="1" thickTop="1" thickBot="1">
      <c r="A19" s="35"/>
      <c r="B19" s="126" t="str">
        <f>IF(AND(CALCUL!C39&gt;=(0.003*D18*D6),D18&lt;=D16,D17&lt;=D15),"Condition vérifiée","Condition non vérifiée")</f>
        <v>Condition vérifiée</v>
      </c>
      <c r="C19" s="127"/>
      <c r="D19" s="127"/>
      <c r="E19" s="127"/>
      <c r="G19" s="15">
        <f>CALCUL!B63</f>
        <v>10</v>
      </c>
      <c r="H19" s="15">
        <f>CALCUL!C63</f>
        <v>1.374825</v>
      </c>
      <c r="I19" s="126" t="str">
        <f>IF(G19&gt;=H19,"Condition vérifiée","Condition non vérifiée")</f>
        <v>Condition vérifiée</v>
      </c>
      <c r="J19" s="127"/>
      <c r="L19" s="175" t="s">
        <v>138</v>
      </c>
      <c r="M19" s="176"/>
      <c r="N19" s="122">
        <f>IF(N7="Fissuration peu nuisible",MIN(0.2*N9/1.5,5),MIN(0.15*N9/1.5,4))</f>
        <v>3.3333333333333335</v>
      </c>
      <c r="O19" s="123"/>
      <c r="Q19" s="103"/>
    </row>
    <row r="20" spans="1:17" ht="17.25" thickTop="1" thickBot="1">
      <c r="A20" s="35"/>
      <c r="B20" s="128" t="str">
        <f>IF(C14&lt;(0.003*D18*D6)," Remarque : La quantité d'armatures transversales choisie est inférieure à la quantité minimale  ",IF(D18&gt;D16,"Remarque : L'espacement choisi sur la zone courante dépasse l'espacement maximale",IF(D17&gt;D15,"Remarque : L'espacement choisi sur la zone nodale dépasse l'espacement maximale"," ")))</f>
        <v xml:space="preserve"> </v>
      </c>
      <c r="C20" s="129"/>
      <c r="D20" s="129"/>
      <c r="E20" s="130"/>
      <c r="G20" s="157" t="s">
        <v>99</v>
      </c>
      <c r="H20" s="158"/>
      <c r="I20" s="158"/>
      <c r="J20" s="159"/>
      <c r="L20" s="160" t="s">
        <v>102</v>
      </c>
      <c r="M20" s="160"/>
      <c r="N20" s="126" t="str">
        <f>IF((N17^2+N18^2)&lt;=N19^2,"Condition vérifiée","Condition non vérifiée")</f>
        <v>Condition vérifiée</v>
      </c>
      <c r="O20" s="127"/>
    </row>
    <row r="21" spans="1:17" ht="19.5" thickTop="1" thickBot="1">
      <c r="A21" s="35"/>
      <c r="B21" s="167"/>
      <c r="C21" s="168"/>
      <c r="D21" s="168"/>
      <c r="E21" s="169"/>
      <c r="G21" s="50" t="s">
        <v>106</v>
      </c>
      <c r="H21" s="48" t="s">
        <v>89</v>
      </c>
      <c r="I21" s="160" t="s">
        <v>102</v>
      </c>
      <c r="J21" s="160"/>
      <c r="L21" s="136" t="s">
        <v>139</v>
      </c>
      <c r="M21" s="137"/>
      <c r="N21" s="122">
        <f>N16*N11*1000/(2*N15*N8/1.15)</f>
        <v>1.6571499999999999</v>
      </c>
      <c r="O21" s="123"/>
    </row>
    <row r="22" spans="1:17" ht="17.25" thickTop="1" thickBot="1">
      <c r="A22" s="35"/>
      <c r="B22" s="131"/>
      <c r="C22" s="132"/>
      <c r="D22" s="132"/>
      <c r="E22" s="133"/>
      <c r="G22" s="15">
        <f>CALCUL!C67</f>
        <v>0.70065934065934066</v>
      </c>
      <c r="H22" s="15">
        <f>CALCUL!D67</f>
        <v>21.666666666666668</v>
      </c>
      <c r="I22" s="126" t="str">
        <f>IF(G22&lt;=H22,"Condition vérifiée","Condition non vérifiée")</f>
        <v>Condition vérifiée</v>
      </c>
      <c r="J22" s="127"/>
      <c r="L22" s="136" t="s">
        <v>140</v>
      </c>
      <c r="M22" s="137"/>
      <c r="N22" s="122">
        <f>(2*N15*L13)/(N11*1000)*(N8/1.15)</f>
        <v>66.731473557831649</v>
      </c>
      <c r="O22" s="123"/>
    </row>
    <row r="23" spans="1:17" ht="15.75" customHeight="1" thickTop="1" thickBot="1"/>
    <row r="24" spans="1:17" ht="15.75">
      <c r="B24" s="39"/>
      <c r="C24" s="40"/>
      <c r="D24" s="111" t="str">
        <f>"Asmin= "&amp;(0.5%*D6*E6)&amp;" cm²"</f>
        <v>Asmin= 5.25 cm²</v>
      </c>
      <c r="E24" s="40"/>
      <c r="F24" s="40"/>
      <c r="G24" s="40"/>
      <c r="H24" s="40"/>
      <c r="I24" s="40"/>
      <c r="J24" s="41"/>
    </row>
    <row r="25" spans="1:17" ht="15.75">
      <c r="B25" s="42"/>
      <c r="C25" s="43"/>
      <c r="D25" s="43"/>
      <c r="E25" s="43"/>
      <c r="F25" s="43"/>
      <c r="G25" s="43"/>
      <c r="H25" s="43"/>
      <c r="I25" s="43"/>
      <c r="J25" s="44"/>
    </row>
    <row r="26" spans="1:17" ht="15.75">
      <c r="B26" s="42"/>
      <c r="C26" s="43"/>
      <c r="D26" s="43"/>
      <c r="E26" s="43"/>
      <c r="F26" s="43"/>
      <c r="G26" s="43"/>
      <c r="H26" s="43"/>
      <c r="I26" s="43"/>
      <c r="J26" s="44"/>
    </row>
    <row r="27" spans="1:17" ht="15.75">
      <c r="B27" s="42"/>
      <c r="C27" s="43"/>
      <c r="D27" s="43"/>
      <c r="E27" s="43"/>
      <c r="F27" s="43"/>
      <c r="G27" s="43"/>
      <c r="H27" s="43"/>
      <c r="I27" s="43"/>
      <c r="J27" s="44"/>
    </row>
    <row r="28" spans="1:17" ht="15.75">
      <c r="B28" s="42"/>
      <c r="C28" s="43"/>
      <c r="D28" s="43"/>
      <c r="E28" s="43"/>
      <c r="F28" s="43"/>
      <c r="G28" s="43"/>
      <c r="H28" s="43"/>
      <c r="I28" s="43"/>
      <c r="J28" s="44"/>
    </row>
    <row r="29" spans="1:17" ht="15.75">
      <c r="B29" s="42"/>
      <c r="C29" s="43"/>
      <c r="D29" s="43"/>
      <c r="E29" s="43"/>
      <c r="F29" s="43"/>
      <c r="G29" s="43"/>
      <c r="H29" s="43"/>
      <c r="I29" s="43"/>
      <c r="J29" s="44"/>
    </row>
    <row r="30" spans="1:17" ht="15.75">
      <c r="B30" s="42"/>
      <c r="C30" s="43"/>
      <c r="D30" s="43"/>
      <c r="E30" s="43"/>
      <c r="F30" s="43"/>
      <c r="G30" s="43"/>
      <c r="H30" s="43"/>
      <c r="I30" s="43"/>
      <c r="J30" s="44"/>
      <c r="M30"/>
    </row>
    <row r="31" spans="1:17" ht="15.75">
      <c r="B31" s="42"/>
      <c r="C31" s="43"/>
      <c r="D31" s="43"/>
      <c r="E31" s="43"/>
      <c r="F31" s="43"/>
      <c r="G31" s="43"/>
      <c r="H31" s="43"/>
      <c r="I31" s="43"/>
      <c r="J31" s="44"/>
      <c r="M31"/>
    </row>
    <row r="32" spans="1:17" ht="15.75">
      <c r="B32" s="42"/>
      <c r="C32" s="43"/>
      <c r="D32" s="43"/>
      <c r="E32" s="43"/>
      <c r="F32" s="43"/>
      <c r="G32" s="43"/>
      <c r="H32" s="43"/>
      <c r="I32" s="43"/>
      <c r="J32" s="44"/>
      <c r="M32"/>
    </row>
    <row r="33" spans="2:13" ht="15.75">
      <c r="B33" s="42"/>
      <c r="C33" s="43"/>
      <c r="D33" s="43"/>
      <c r="E33" s="43"/>
      <c r="F33" s="43"/>
      <c r="G33" s="43"/>
      <c r="H33" s="43"/>
      <c r="I33" s="43"/>
      <c r="J33" s="44"/>
      <c r="M33"/>
    </row>
    <row r="34" spans="2:13" ht="16.5" thickBot="1">
      <c r="B34" s="45"/>
      <c r="C34" s="46"/>
      <c r="D34" s="46"/>
      <c r="E34" s="46"/>
      <c r="F34" s="46"/>
      <c r="G34" s="46"/>
      <c r="H34" s="46"/>
      <c r="I34" s="46"/>
      <c r="J34" s="47"/>
      <c r="M34"/>
    </row>
    <row r="35" spans="2:13" ht="15.75">
      <c r="M35"/>
    </row>
    <row r="36" spans="2:13" ht="15.75">
      <c r="M36"/>
    </row>
    <row r="37" spans="2:13" ht="15.75">
      <c r="M37"/>
    </row>
    <row r="38" spans="2:13" ht="15.75">
      <c r="M38"/>
    </row>
    <row r="39" spans="2:13" ht="15.75">
      <c r="M39"/>
    </row>
    <row r="40" spans="2:13" ht="15.75" customHeight="1">
      <c r="M40"/>
    </row>
    <row r="41" spans="2:13" ht="15.75" customHeight="1">
      <c r="M41"/>
    </row>
    <row r="42" spans="2:13" ht="15.75" customHeight="1">
      <c r="M42"/>
    </row>
    <row r="43" spans="2:13" ht="15.75" customHeight="1">
      <c r="M43"/>
    </row>
    <row r="44" spans="2:13" ht="15.75" customHeight="1">
      <c r="M44"/>
    </row>
    <row r="45" spans="2:13" ht="15.75" customHeight="1">
      <c r="M45"/>
    </row>
    <row r="46" spans="2:13" ht="15.75" customHeight="1">
      <c r="M46"/>
    </row>
    <row r="47" spans="2:13" ht="15.75" customHeight="1">
      <c r="M47"/>
    </row>
    <row r="48" spans="2:13" ht="15.75" customHeight="1">
      <c r="M48"/>
    </row>
    <row r="49" spans="13:13" ht="15.75" customHeight="1">
      <c r="M49"/>
    </row>
    <row r="50" spans="13:13" ht="15.75" customHeight="1">
      <c r="M50"/>
    </row>
    <row r="51" spans="13:13" ht="15.75" customHeight="1">
      <c r="M51"/>
    </row>
    <row r="52" spans="13:13" ht="15.75" customHeight="1">
      <c r="M52"/>
    </row>
    <row r="53" spans="13:13" ht="15.75" customHeight="1">
      <c r="M53"/>
    </row>
    <row r="54" spans="13:13" ht="15.75" customHeight="1">
      <c r="M54"/>
    </row>
    <row r="55" spans="13:13" ht="15.75" customHeight="1"/>
    <row r="56" spans="13:13" ht="15.75" customHeight="1"/>
    <row r="57" spans="13:13" ht="15.75" customHeight="1"/>
    <row r="58" spans="13:13" ht="15.75" customHeight="1"/>
    <row r="59" spans="13:13" ht="15.75" customHeight="1"/>
    <row r="60" spans="13:13" ht="15.75" customHeight="1"/>
    <row r="61" spans="13:13" ht="15.75" customHeight="1"/>
    <row r="62" spans="13:13" ht="15.75" customHeight="1"/>
    <row r="63" spans="13:13" ht="15.75" customHeight="1"/>
    <row r="64" spans="13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9">
    <mergeCell ref="L22:M22"/>
    <mergeCell ref="N22:O22"/>
    <mergeCell ref="B2:O2"/>
    <mergeCell ref="L19:M19"/>
    <mergeCell ref="N19:O19"/>
    <mergeCell ref="L20:M20"/>
    <mergeCell ref="N20:O20"/>
    <mergeCell ref="L21:M21"/>
    <mergeCell ref="N21:O21"/>
    <mergeCell ref="L16:M16"/>
    <mergeCell ref="N16:O16"/>
    <mergeCell ref="L17:M17"/>
    <mergeCell ref="N17:O17"/>
    <mergeCell ref="L18:M18"/>
    <mergeCell ref="N18:O18"/>
    <mergeCell ref="L12:M12"/>
    <mergeCell ref="L13:M13"/>
    <mergeCell ref="L14:M14"/>
    <mergeCell ref="N14:O14"/>
    <mergeCell ref="L15:M15"/>
    <mergeCell ref="N15:O15"/>
    <mergeCell ref="L9:M9"/>
    <mergeCell ref="N9:O9"/>
    <mergeCell ref="L10:M10"/>
    <mergeCell ref="N10:O10"/>
    <mergeCell ref="L11:M11"/>
    <mergeCell ref="N11:O11"/>
    <mergeCell ref="L5:O5"/>
    <mergeCell ref="L6:M6"/>
    <mergeCell ref="L7:M7"/>
    <mergeCell ref="N7:O7"/>
    <mergeCell ref="L8:M8"/>
    <mergeCell ref="N8:O8"/>
    <mergeCell ref="B19:E19"/>
    <mergeCell ref="B20:E22"/>
    <mergeCell ref="D12:E12"/>
    <mergeCell ref="B15:B16"/>
    <mergeCell ref="D15:E15"/>
    <mergeCell ref="D16:E16"/>
    <mergeCell ref="B17:B18"/>
    <mergeCell ref="D17:E17"/>
    <mergeCell ref="D18:E18"/>
    <mergeCell ref="B12:C12"/>
    <mergeCell ref="B10:C10"/>
    <mergeCell ref="D10:E10"/>
    <mergeCell ref="B11:C11"/>
    <mergeCell ref="D11:E11"/>
    <mergeCell ref="B5:E5"/>
    <mergeCell ref="B8:C8"/>
    <mergeCell ref="D8:E8"/>
    <mergeCell ref="B6:C6"/>
    <mergeCell ref="B7:C7"/>
    <mergeCell ref="D7:E7"/>
    <mergeCell ref="B9:C9"/>
    <mergeCell ref="D9:E9"/>
    <mergeCell ref="G11:J11"/>
    <mergeCell ref="G5:J5"/>
    <mergeCell ref="G9:H9"/>
    <mergeCell ref="I9:J9"/>
    <mergeCell ref="G8:H8"/>
    <mergeCell ref="I8:J8"/>
    <mergeCell ref="G7:H7"/>
    <mergeCell ref="I7:J7"/>
    <mergeCell ref="I22:J22"/>
    <mergeCell ref="I3:J3"/>
    <mergeCell ref="G17:J17"/>
    <mergeCell ref="I18:J18"/>
    <mergeCell ref="I19:J19"/>
    <mergeCell ref="G20:J20"/>
    <mergeCell ref="I21:J21"/>
    <mergeCell ref="I12:J12"/>
    <mergeCell ref="I13:J13"/>
    <mergeCell ref="G14:J14"/>
    <mergeCell ref="I15:J15"/>
    <mergeCell ref="I16:J16"/>
    <mergeCell ref="G10:H10"/>
    <mergeCell ref="I10:J10"/>
    <mergeCell ref="G6:H6"/>
    <mergeCell ref="I6:J6"/>
  </mergeCells>
  <conditionalFormatting sqref="I13:J13 I16:J16 I19:J19 B19:E19 I22:J22">
    <cfRule type="cellIs" dxfId="1" priority="8" operator="equal">
      <formula>"Condition non vérifiée"</formula>
    </cfRule>
  </conditionalFormatting>
  <conditionalFormatting sqref="N20:O20">
    <cfRule type="cellIs" dxfId="0" priority="1" operator="equal">
      <formula>"Condition non vérifiée"</formula>
    </cfRule>
  </conditionalFormatting>
  <dataValidations count="6">
    <dataValidation type="list" allowBlank="1" showInputMessage="1" showErrorMessage="1" sqref="I8:J8 N7:O7">
      <formula1>"Fissuration peu nuisible,Fissuration préjudiciable,Fissuration très préjudiciable"</formula1>
    </dataValidation>
    <dataValidation type="list" allowBlank="1" showErrorMessage="1" sqref="D14 N13">
      <formula1>CALCUL!C78:C81</formula1>
    </dataValidation>
    <dataValidation type="list" allowBlank="1" showInputMessage="1" showErrorMessage="1" sqref="D10:E10">
      <formula1>CALCUL!C81:C84</formula1>
    </dataValidation>
    <dataValidation type="list" allowBlank="1" showInputMessage="1" showErrorMessage="1" sqref="D8:E8 N8:O8">
      <formula1>CALCUL!D78:D81</formula1>
    </dataValidation>
    <dataValidation type="list" allowBlank="1" showInputMessage="1" showErrorMessage="1" sqref="D11:E11">
      <formula1>"Sont nécessaires,Non nécessaire"</formula1>
    </dataValidation>
    <dataValidation type="list" allowBlank="1" showInputMessage="1" showErrorMessage="1" sqref="I7:J7">
      <formula1>"I,II,III,IV,V,VI"</formula1>
    </dataValidation>
  </dataValidations>
  <pageMargins left="0.7" right="0.7" top="0.75" bottom="0.75" header="0" footer="0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B2:K5"/>
  <sheetViews>
    <sheetView showGridLines="0" workbookViewId="0">
      <selection activeCell="K8" sqref="K8"/>
    </sheetView>
  </sheetViews>
  <sheetFormatPr defaultRowHeight="15"/>
  <cols>
    <col min="1" max="16384" width="9.140625" style="8"/>
  </cols>
  <sheetData>
    <row r="2" spans="2:11" ht="15.75" thickBot="1"/>
    <row r="3" spans="2:11" ht="39" customHeight="1" thickTop="1" thickBot="1">
      <c r="B3" s="179" t="s">
        <v>68</v>
      </c>
      <c r="C3" s="180"/>
      <c r="D3" s="180"/>
      <c r="E3" s="180"/>
      <c r="F3" s="180"/>
      <c r="G3" s="181"/>
      <c r="H3" s="185" t="s">
        <v>69</v>
      </c>
      <c r="I3" s="186"/>
      <c r="J3" s="186"/>
      <c r="K3" s="186"/>
    </row>
    <row r="4" spans="2:11" ht="39" customHeight="1" thickTop="1" thickBot="1">
      <c r="B4" s="182"/>
      <c r="C4" s="183"/>
      <c r="D4" s="183"/>
      <c r="E4" s="183"/>
      <c r="F4" s="183"/>
      <c r="G4" s="184"/>
      <c r="H4" s="185" t="s">
        <v>70</v>
      </c>
      <c r="I4" s="187"/>
      <c r="J4" s="187"/>
      <c r="K4" s="187"/>
    </row>
    <row r="5" spans="2:11" ht="15.75" thickTop="1"/>
  </sheetData>
  <sheetProtection password="D799" sheet="1" objects="1" scenarios="1"/>
  <mergeCells count="3">
    <mergeCell ref="B3:G4"/>
    <mergeCell ref="H3:K3"/>
    <mergeCell ref="H4:K4"/>
  </mergeCells>
  <hyperlinks>
    <hyperlink ref="H4" r:id="rId1"/>
    <hyperlink ref="H3" r:id="rId2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T1016"/>
  <sheetViews>
    <sheetView topLeftCell="A31" zoomScaleNormal="100" workbookViewId="0">
      <selection activeCell="E27" sqref="E27"/>
    </sheetView>
  </sheetViews>
  <sheetFormatPr defaultColWidth="14.42578125" defaultRowHeight="15" customHeight="1"/>
  <cols>
    <col min="1" max="1" width="11.42578125" style="9" customWidth="1"/>
    <col min="2" max="2" width="32" style="9" bestFit="1" customWidth="1"/>
    <col min="3" max="3" width="16.85546875" style="9" bestFit="1" customWidth="1"/>
    <col min="4" max="4" width="18" style="9" bestFit="1" customWidth="1"/>
    <col min="5" max="5" width="23.85546875" style="9" customWidth="1"/>
    <col min="6" max="6" width="12.42578125" style="9" bestFit="1" customWidth="1"/>
    <col min="7" max="7" width="13.7109375" style="9" bestFit="1" customWidth="1"/>
    <col min="8" max="8" width="16.140625" style="9" bestFit="1" customWidth="1"/>
    <col min="9" max="26" width="11.42578125" style="9" customWidth="1"/>
    <col min="27" max="16384" width="14.42578125" style="9"/>
  </cols>
  <sheetData>
    <row r="1" spans="1:11" ht="15" customHeight="1" thickBot="1"/>
    <row r="2" spans="1:11" ht="15" customHeight="1" thickTop="1">
      <c r="A2" s="200" t="s">
        <v>24</v>
      </c>
      <c r="B2" s="201"/>
      <c r="C2" s="201"/>
      <c r="D2" s="201"/>
      <c r="E2" s="201"/>
      <c r="F2" s="201"/>
      <c r="G2" s="201"/>
      <c r="H2" s="201"/>
      <c r="I2" s="201"/>
      <c r="J2" s="201"/>
      <c r="K2" s="202"/>
    </row>
    <row r="3" spans="1:11" ht="15" customHeight="1" thickBot="1">
      <c r="A3" s="10" t="s">
        <v>10</v>
      </c>
      <c r="B3" s="51"/>
      <c r="C3" s="11" t="s">
        <v>141</v>
      </c>
      <c r="D3" s="203"/>
      <c r="E3" s="203"/>
      <c r="F3" s="203"/>
      <c r="G3" s="203"/>
      <c r="H3" s="203"/>
      <c r="I3" s="203"/>
      <c r="J3" s="203"/>
      <c r="K3" s="204"/>
    </row>
    <row r="4" spans="1:11" ht="15" customHeight="1" thickTop="1" thickBo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</row>
    <row r="5" spans="1:11" ht="15" customHeight="1" thickTop="1" thickBot="1">
      <c r="A5" s="52"/>
      <c r="B5" s="53" t="s">
        <v>7</v>
      </c>
      <c r="C5" s="53" t="s">
        <v>72</v>
      </c>
      <c r="D5" s="53" t="s">
        <v>73</v>
      </c>
      <c r="E5" s="53" t="s">
        <v>31</v>
      </c>
      <c r="F5" s="53" t="s">
        <v>116</v>
      </c>
      <c r="G5" s="52"/>
      <c r="H5" s="52"/>
      <c r="I5" s="52"/>
      <c r="J5" s="52"/>
      <c r="K5" s="52"/>
    </row>
    <row r="6" spans="1:11" ht="17.25" thickTop="1" thickBot="1">
      <c r="A6" s="52"/>
      <c r="B6" s="12" t="str">
        <f>'POTEAUX '!F7</f>
        <v>I</v>
      </c>
      <c r="C6" s="12">
        <f>'POTEAUX '!F12</f>
        <v>40</v>
      </c>
      <c r="D6" s="12">
        <f>'POTEAUX '!G12</f>
        <v>40</v>
      </c>
      <c r="E6" s="12">
        <f>'POTEAUX '!F11</f>
        <v>5.2</v>
      </c>
      <c r="F6" s="13">
        <f>'POTEAUX '!$F$13</f>
        <v>3</v>
      </c>
      <c r="G6" s="52"/>
      <c r="H6" s="52"/>
      <c r="I6" s="52"/>
      <c r="J6" s="52"/>
      <c r="K6" s="52"/>
    </row>
    <row r="7" spans="1:11" ht="20.25" thickTop="1" thickBot="1">
      <c r="A7" s="52"/>
      <c r="B7" s="53" t="s">
        <v>74</v>
      </c>
      <c r="C7" s="53" t="s">
        <v>0</v>
      </c>
      <c r="D7" s="53" t="s">
        <v>1</v>
      </c>
      <c r="E7" s="53" t="s">
        <v>44</v>
      </c>
      <c r="F7" s="53" t="s">
        <v>43</v>
      </c>
      <c r="G7" s="52"/>
      <c r="H7" s="52"/>
      <c r="I7" s="52"/>
      <c r="J7" s="52"/>
      <c r="K7" s="52"/>
    </row>
    <row r="8" spans="1:11" ht="17.25" thickTop="1" thickBot="1">
      <c r="A8" s="52"/>
      <c r="B8" s="12">
        <f>'POTEAUX '!F10</f>
        <v>1.6</v>
      </c>
      <c r="C8" s="12">
        <f>'POTEAUX '!F8</f>
        <v>400</v>
      </c>
      <c r="D8" s="12">
        <f>'POTEAUX '!F9</f>
        <v>25</v>
      </c>
      <c r="E8" s="13">
        <f>'POTEAUX '!F14</f>
        <v>15</v>
      </c>
      <c r="F8" s="13">
        <f>'POTEAUX '!G14</f>
        <v>15</v>
      </c>
      <c r="G8" s="52"/>
      <c r="H8" s="52"/>
      <c r="I8" s="52"/>
      <c r="J8" s="52"/>
      <c r="K8" s="52"/>
    </row>
    <row r="9" spans="1:11" ht="15" customHeight="1" thickTop="1" thickBot="1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</row>
    <row r="10" spans="1:11" ht="15.75" customHeight="1" thickTop="1" thickBot="1">
      <c r="A10" s="52"/>
      <c r="B10" s="52"/>
      <c r="C10" s="54" t="s">
        <v>6</v>
      </c>
      <c r="D10" s="54" t="s">
        <v>6</v>
      </c>
      <c r="E10" s="52"/>
      <c r="F10" s="52"/>
      <c r="G10" s="196" t="s">
        <v>8</v>
      </c>
      <c r="H10" s="196"/>
      <c r="I10" s="52"/>
      <c r="J10" s="52"/>
      <c r="K10" s="52"/>
    </row>
    <row r="11" spans="1:11" ht="15.75" customHeight="1" thickTop="1" thickBot="1">
      <c r="A11" s="52"/>
      <c r="B11" s="52"/>
      <c r="C11" s="55" t="s">
        <v>2</v>
      </c>
      <c r="D11" s="55" t="s">
        <v>3</v>
      </c>
      <c r="E11" s="52"/>
      <c r="F11" s="52"/>
      <c r="G11" s="56" t="s">
        <v>2</v>
      </c>
      <c r="H11" s="56" t="s">
        <v>3</v>
      </c>
      <c r="I11" s="52"/>
      <c r="J11" s="52"/>
      <c r="K11" s="52"/>
    </row>
    <row r="12" spans="1:11" ht="15.75" customHeight="1" thickTop="1" thickBot="1">
      <c r="A12" s="52"/>
      <c r="B12" s="57" t="s">
        <v>5</v>
      </c>
      <c r="C12" s="58">
        <f>MIN(10*'POTEAUX '!F10,12.5)</f>
        <v>12.5</v>
      </c>
      <c r="D12" s="58">
        <f>15*'POTEAUX '!F10</f>
        <v>24</v>
      </c>
      <c r="E12" s="52"/>
      <c r="F12" s="52"/>
      <c r="G12" s="58">
        <f>IF(OR($B$6="I",$B$6="II",$B$6="III"),C12,C13)</f>
        <v>12.5</v>
      </c>
      <c r="H12" s="58">
        <f>IF(OR($B$6="I",$B$6="II",$B$6="III"),D12,D13)</f>
        <v>24</v>
      </c>
      <c r="I12" s="52"/>
      <c r="J12" s="52"/>
      <c r="K12" s="52"/>
    </row>
    <row r="13" spans="1:11" ht="15.75" customHeight="1" thickTop="1" thickBot="1">
      <c r="A13" s="52"/>
      <c r="B13" s="57" t="s">
        <v>4</v>
      </c>
      <c r="C13" s="58">
        <f>MIN(('POTEAUX '!F12-2*'POTEAUX '!F13)/3,6*'POTEAUX '!F10,10)</f>
        <v>9.6000000000000014</v>
      </c>
      <c r="D13" s="58">
        <f>MIN('POTEAUX '!F12/2,'POTEAUX '!G12/2,10*'POTEAUX '!F10)</f>
        <v>16</v>
      </c>
      <c r="E13" s="52"/>
      <c r="F13" s="52"/>
      <c r="G13" s="52"/>
      <c r="H13" s="52"/>
      <c r="I13" s="52"/>
      <c r="J13" s="52"/>
      <c r="K13" s="52"/>
    </row>
    <row r="14" spans="1:11" ht="20.25" customHeight="1" thickTop="1" thickBo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</row>
    <row r="15" spans="1:11" ht="15.75" customHeight="1" thickTop="1" thickBot="1">
      <c r="A15" s="52"/>
      <c r="B15" s="52"/>
      <c r="C15" s="54" t="s">
        <v>128</v>
      </c>
      <c r="D15" s="59" t="s">
        <v>129</v>
      </c>
      <c r="E15" s="54" t="s">
        <v>75</v>
      </c>
      <c r="F15" s="52"/>
      <c r="G15" s="52"/>
      <c r="H15" s="52"/>
      <c r="I15" s="52"/>
      <c r="J15" s="52"/>
      <c r="K15" s="52"/>
    </row>
    <row r="16" spans="1:11" ht="15.75" customHeight="1" thickTop="1" thickBot="1">
      <c r="A16" s="52"/>
      <c r="B16" s="53" t="s">
        <v>76</v>
      </c>
      <c r="C16" s="60">
        <f>E6*0.7/(C6/100)</f>
        <v>9.0999999999999979</v>
      </c>
      <c r="D16" s="60">
        <f>IF(C16&gt;=5,2.5,3.75)</f>
        <v>2.5</v>
      </c>
      <c r="E16" s="60">
        <f>(D16*E8*'POTEAUX '!F21)*10^3/(C6*C8*10^2)</f>
        <v>0.234375</v>
      </c>
      <c r="F16" s="52"/>
      <c r="G16" s="52"/>
      <c r="H16" s="52"/>
      <c r="I16" s="52"/>
      <c r="J16" s="52"/>
      <c r="K16" s="52"/>
    </row>
    <row r="17" spans="1:11" ht="15.75" customHeight="1" thickTop="1" thickBot="1">
      <c r="A17" s="52"/>
      <c r="B17" s="53" t="s">
        <v>77</v>
      </c>
      <c r="C17" s="61">
        <f>E6*0.7/(D6/100)</f>
        <v>9.0999999999999979</v>
      </c>
      <c r="D17" s="61">
        <f>IF(C17&gt;=5,2.5,3.75)</f>
        <v>2.5</v>
      </c>
      <c r="E17" s="61">
        <f>(D17*F8*'POTEAUX '!F21)*10^3/(D6*C8*10^2)</f>
        <v>0.234375</v>
      </c>
      <c r="F17" s="52"/>
      <c r="G17" s="52"/>
      <c r="H17" s="52"/>
      <c r="I17" s="52"/>
      <c r="J17" s="52"/>
      <c r="K17" s="52"/>
    </row>
    <row r="18" spans="1:11" ht="15.75" customHeight="1" thickTop="1" thickBo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</row>
    <row r="19" spans="1:11" ht="15.75" customHeight="1" thickTop="1" thickBot="1">
      <c r="A19" s="52"/>
      <c r="B19" s="52"/>
      <c r="C19" s="54" t="s">
        <v>9</v>
      </c>
      <c r="D19" s="54" t="s">
        <v>78</v>
      </c>
      <c r="E19" s="52"/>
      <c r="F19" s="52"/>
      <c r="G19" s="62" t="s">
        <v>79</v>
      </c>
      <c r="H19" s="52"/>
      <c r="I19" s="52"/>
      <c r="J19" s="52"/>
      <c r="K19" s="52"/>
    </row>
    <row r="20" spans="1:11" ht="15.75" customHeight="1" thickTop="1" thickBot="1">
      <c r="A20" s="52"/>
      <c r="B20" s="53" t="s">
        <v>76</v>
      </c>
      <c r="C20" s="63">
        <f t="array" ref="C20">IF(C16&gt;=5,0.3%,IF(C16&lt;=3,0.8%,FORECAST(C16,C23:C24,D23:D24)))</f>
        <v>3.0000000000000001E-3</v>
      </c>
      <c r="D20" s="60">
        <f>C20*C6*'POTEAUX '!F21</f>
        <v>1.2</v>
      </c>
      <c r="E20" s="52"/>
      <c r="F20" s="52"/>
      <c r="G20" s="60">
        <f>MAX(E16,D20,E17,D21)</f>
        <v>1.2</v>
      </c>
      <c r="H20" s="52"/>
      <c r="I20" s="52"/>
      <c r="J20" s="52"/>
      <c r="K20" s="52"/>
    </row>
    <row r="21" spans="1:11" ht="15.75" customHeight="1" thickTop="1" thickBot="1">
      <c r="A21" s="52"/>
      <c r="B21" s="53" t="s">
        <v>77</v>
      </c>
      <c r="C21" s="64">
        <f t="array" ref="C21">IF(C17&gt;=5,0.3%,IF(C17&lt;=3,0.8%,FORECAST(C17,C23:C24,D23:D24)))</f>
        <v>3.0000000000000001E-3</v>
      </c>
      <c r="D21" s="61">
        <f>C21*D6*'POTEAUX '!F21</f>
        <v>1.2</v>
      </c>
      <c r="E21" s="52"/>
      <c r="F21" s="52"/>
      <c r="G21" s="52"/>
      <c r="H21" s="52"/>
      <c r="I21" s="52"/>
      <c r="J21" s="52"/>
      <c r="K21" s="52"/>
    </row>
    <row r="22" spans="1:11" ht="15.75" customHeight="1" thickTop="1" thickBo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</row>
    <row r="23" spans="1:11" ht="15.75" customHeight="1" thickTop="1" thickBot="1">
      <c r="A23" s="52"/>
      <c r="B23" s="52"/>
      <c r="C23" s="65">
        <v>8.0000000000000002E-3</v>
      </c>
      <c r="D23" s="66">
        <v>3</v>
      </c>
      <c r="E23" s="52"/>
      <c r="F23" s="100"/>
      <c r="G23" s="52"/>
      <c r="H23" s="101"/>
      <c r="I23" s="52"/>
      <c r="J23" s="52"/>
      <c r="K23" s="52"/>
    </row>
    <row r="24" spans="1:11" ht="15.75" customHeight="1" thickTop="1" thickBot="1">
      <c r="A24" s="52"/>
      <c r="B24" s="52"/>
      <c r="C24" s="65">
        <v>3.0000000000000001E-3</v>
      </c>
      <c r="D24" s="66">
        <v>5</v>
      </c>
      <c r="E24" s="52"/>
      <c r="F24" s="52"/>
      <c r="G24" s="52"/>
      <c r="H24" s="52"/>
      <c r="I24" s="52"/>
      <c r="J24" s="52"/>
      <c r="K24" s="52"/>
    </row>
    <row r="25" spans="1:11" ht="15.75" customHeight="1" thickTop="1" thickBot="1">
      <c r="A25" s="52"/>
      <c r="B25" s="52"/>
      <c r="C25" s="52"/>
      <c r="D25" s="52"/>
      <c r="E25" s="52"/>
      <c r="F25" s="67"/>
      <c r="G25" s="52"/>
      <c r="H25" s="52"/>
      <c r="I25" s="52"/>
      <c r="J25" s="52"/>
      <c r="K25" s="52"/>
    </row>
    <row r="26" spans="1:11" ht="15.75" customHeight="1" thickTop="1" thickBot="1">
      <c r="A26" s="52"/>
      <c r="B26" s="52"/>
      <c r="C26" s="54" t="s">
        <v>109</v>
      </c>
      <c r="D26" s="54" t="s">
        <v>110</v>
      </c>
      <c r="E26" s="54" t="s">
        <v>111</v>
      </c>
      <c r="F26" s="54" t="s">
        <v>112</v>
      </c>
      <c r="G26" s="54" t="s">
        <v>114</v>
      </c>
      <c r="H26" s="54" t="s">
        <v>115</v>
      </c>
      <c r="I26" s="52"/>
      <c r="J26" s="52"/>
      <c r="K26" s="52"/>
    </row>
    <row r="27" spans="1:11" ht="15.75" customHeight="1" thickTop="1" thickBot="1">
      <c r="A27" s="52"/>
      <c r="B27" s="52"/>
      <c r="C27" s="68" t="str">
        <f>"50Øl = "&amp;50*'POTEAUX '!$F$10&amp;" (cm) "</f>
        <v xml:space="preserve">50Øl = 80 (cm) </v>
      </c>
      <c r="D27" s="102" t="str">
        <f>"Lcr = "&amp;ROUND(MAX(1.5*'POTEAUX '!G12,'POTEAUX '!F11*100/6,60),2)&amp;" (cm)"</f>
        <v>Lcr = 86,67 (cm)</v>
      </c>
      <c r="E27" s="68" t="str">
        <f>"Lrec = "&amp;IF(OR('POTEAUX '!$F$7="I",'POTEAUX '!$F$7="II",'POTEAUX '!$F$7="III"),50*B8,60*B8)&amp; "(cm)"</f>
        <v>Lrec = 80(cm)</v>
      </c>
      <c r="F27" s="68" t="str">
        <f>"Lcl = "&amp;$E$6&amp;" (m)"</f>
        <v>Lcl = 5,2 (m)</v>
      </c>
      <c r="G27" s="68" t="str">
        <f>"t = "&amp;'POTEAUX '!F21&amp;" (cm)"</f>
        <v>t = 10 (cm)</v>
      </c>
      <c r="H27" s="68" t="str">
        <f>"t' = "&amp;'POTEAUX '!F22&amp;" (cm)"</f>
        <v>t' = 20 (cm)</v>
      </c>
      <c r="I27" s="52"/>
      <c r="J27" s="52"/>
      <c r="K27" s="52"/>
    </row>
    <row r="28" spans="1:11" ht="15.75" customHeight="1" thickTop="1" thickBot="1">
      <c r="A28" s="52"/>
      <c r="B28" s="52"/>
      <c r="C28" s="54" t="s">
        <v>118</v>
      </c>
      <c r="D28" s="54" t="s">
        <v>119</v>
      </c>
      <c r="E28" s="54" t="s">
        <v>120</v>
      </c>
      <c r="F28" s="67"/>
      <c r="G28" s="52"/>
      <c r="H28" s="52"/>
      <c r="I28" s="52"/>
      <c r="J28" s="52"/>
      <c r="K28" s="52"/>
    </row>
    <row r="29" spans="1:11" ht="15.75" customHeight="1" thickTop="1" thickBot="1">
      <c r="A29" s="52"/>
      <c r="B29" s="52"/>
      <c r="C29" s="68" t="str">
        <f>"bc = "&amp;$C$6&amp;" (cm)"</f>
        <v>bc = 40 (cm)</v>
      </c>
      <c r="D29" s="68" t="str">
        <f>"hc = "&amp;$D$6&amp;" (cm)"</f>
        <v>hc = 40 (cm)</v>
      </c>
      <c r="E29" s="68" t="str">
        <f>"d = "&amp;$F$6&amp;" (cm)"</f>
        <v>d = 3 (cm)</v>
      </c>
      <c r="F29" s="67"/>
      <c r="G29" s="52"/>
      <c r="H29" s="52"/>
      <c r="I29" s="52"/>
      <c r="J29" s="52"/>
      <c r="K29" s="52"/>
    </row>
    <row r="30" spans="1:11" ht="15.75" customHeight="1" thickTop="1" thickBot="1">
      <c r="A30" s="52"/>
      <c r="B30" s="52"/>
      <c r="C30" s="52"/>
      <c r="D30" s="52"/>
      <c r="E30" s="52"/>
      <c r="F30" s="67"/>
      <c r="G30" s="52"/>
      <c r="H30" s="52"/>
      <c r="I30" s="52"/>
      <c r="J30" s="52"/>
      <c r="K30" s="52"/>
    </row>
    <row r="31" spans="1:11" ht="15.75" customHeight="1" thickTop="1">
      <c r="A31" s="200" t="s">
        <v>25</v>
      </c>
      <c r="B31" s="201"/>
      <c r="C31" s="201"/>
      <c r="D31" s="201"/>
      <c r="E31" s="201"/>
      <c r="F31" s="201"/>
      <c r="G31" s="201"/>
      <c r="H31" s="201"/>
      <c r="I31" s="201"/>
      <c r="J31" s="201"/>
      <c r="K31" s="202"/>
    </row>
    <row r="32" spans="1:11" ht="15.75" customHeight="1" thickBot="1">
      <c r="A32" s="10" t="s">
        <v>10</v>
      </c>
      <c r="B32" s="51"/>
      <c r="C32" s="11" t="s">
        <v>11</v>
      </c>
      <c r="D32" s="203"/>
      <c r="E32" s="203"/>
      <c r="F32" s="203"/>
      <c r="G32" s="203"/>
      <c r="H32" s="203"/>
      <c r="I32" s="203"/>
      <c r="J32" s="203"/>
      <c r="K32" s="204"/>
    </row>
    <row r="33" spans="1:11" ht="15.75" customHeight="1" thickTop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</row>
    <row r="34" spans="1:11" ht="23.25" customHeight="1">
      <c r="A34" s="69"/>
      <c r="B34" s="197" t="s">
        <v>63</v>
      </c>
      <c r="C34" s="198"/>
      <c r="D34" s="198"/>
      <c r="E34" s="198"/>
      <c r="F34" s="198"/>
      <c r="G34" s="198"/>
      <c r="H34" s="198"/>
      <c r="I34" s="198"/>
      <c r="J34" s="199"/>
      <c r="K34" s="52"/>
    </row>
    <row r="35" spans="1:11" ht="15.75" customHeight="1">
      <c r="A35" s="69"/>
      <c r="B35" s="70"/>
      <c r="C35" s="70"/>
      <c r="D35" s="71"/>
      <c r="E35" s="71"/>
      <c r="F35" s="71"/>
      <c r="G35" s="71"/>
      <c r="H35" s="52"/>
      <c r="I35" s="52"/>
      <c r="J35" s="52"/>
      <c r="K35" s="52"/>
    </row>
    <row r="36" spans="1:11" ht="15.75" customHeight="1">
      <c r="A36" s="69"/>
      <c r="B36" s="70"/>
      <c r="C36" s="72" t="s">
        <v>23</v>
      </c>
      <c r="D36" s="72" t="s">
        <v>22</v>
      </c>
      <c r="E36" s="70"/>
      <c r="F36" s="52"/>
      <c r="G36" s="52"/>
      <c r="H36" s="52"/>
      <c r="I36" s="52"/>
      <c r="J36" s="52"/>
      <c r="K36" s="52"/>
    </row>
    <row r="37" spans="1:11" ht="15.75" customHeight="1">
      <c r="A37" s="69"/>
      <c r="B37" s="70"/>
      <c r="C37" s="73">
        <f>(POUTRES!D12*1000)/((POUTRES!D6*10)*((POUTRES!E6-(POUTRES!E6/10))*10))</f>
        <v>0.50603174603174605</v>
      </c>
      <c r="D37" s="74">
        <f>0.6+(0.06*POUTRES!D9)</f>
        <v>2.1</v>
      </c>
      <c r="E37" s="75"/>
      <c r="F37" s="52"/>
      <c r="G37" s="52"/>
      <c r="H37" s="52"/>
      <c r="I37" s="52"/>
      <c r="J37" s="52"/>
      <c r="K37" s="52"/>
    </row>
    <row r="38" spans="1:11" ht="15.75" customHeight="1">
      <c r="A38" s="69"/>
      <c r="B38" s="70"/>
      <c r="C38" s="76" t="s">
        <v>21</v>
      </c>
      <c r="D38" s="76" t="s">
        <v>67</v>
      </c>
      <c r="E38" s="69"/>
      <c r="F38" s="52"/>
      <c r="G38" s="52"/>
      <c r="H38" s="52"/>
      <c r="I38" s="52"/>
      <c r="J38" s="52"/>
      <c r="K38" s="52"/>
    </row>
    <row r="39" spans="1:11" ht="15.75" customHeight="1">
      <c r="A39" s="69"/>
      <c r="B39" s="69"/>
      <c r="C39" s="77">
        <f>POUTRES!C14</f>
        <v>2.0106192982974678</v>
      </c>
      <c r="D39" s="77">
        <f>POUTRES!D14</f>
        <v>0.8</v>
      </c>
      <c r="E39" s="69"/>
      <c r="F39" s="52"/>
      <c r="G39" s="52"/>
      <c r="H39" s="52"/>
      <c r="I39" s="52"/>
      <c r="J39" s="52"/>
      <c r="K39" s="52"/>
    </row>
    <row r="40" spans="1:11" ht="15.75" customHeight="1" thickBot="1">
      <c r="A40" s="69"/>
      <c r="B40" s="69"/>
      <c r="C40" s="69"/>
      <c r="D40" s="69"/>
      <c r="E40" s="69"/>
      <c r="F40" s="52"/>
      <c r="G40" s="52"/>
      <c r="H40" s="52"/>
      <c r="I40" s="52"/>
      <c r="J40" s="52"/>
      <c r="K40" s="52"/>
    </row>
    <row r="41" spans="1:11" ht="15.75" customHeight="1" thickBot="1">
      <c r="A41" s="69"/>
      <c r="B41" s="69"/>
      <c r="C41" s="78" t="s">
        <v>20</v>
      </c>
      <c r="D41" s="79" t="s">
        <v>20</v>
      </c>
      <c r="E41" s="69"/>
      <c r="F41" s="52"/>
      <c r="G41" s="52"/>
      <c r="H41" s="52"/>
      <c r="I41" s="52"/>
      <c r="J41" s="52"/>
      <c r="K41" s="52"/>
    </row>
    <row r="42" spans="1:11" ht="15.75" customHeight="1" thickBot="1">
      <c r="A42" s="69"/>
      <c r="B42" s="69"/>
      <c r="C42" s="80">
        <f>(0.9*C39*POUTRES!D8)/(1.15*POUTRES!D6*(C37-(0.3*D37)))</f>
        <v>-169.23990307998506</v>
      </c>
      <c r="D42" s="80">
        <f>IF(C42&lt;0,100,C42)</f>
        <v>100</v>
      </c>
      <c r="E42" s="69"/>
      <c r="F42" s="52"/>
      <c r="G42" s="52"/>
      <c r="H42" s="52"/>
      <c r="I42" s="52"/>
      <c r="J42" s="52"/>
      <c r="K42" s="52"/>
    </row>
    <row r="43" spans="1:11" ht="15.75" customHeight="1" thickTop="1" thickBot="1">
      <c r="A43" s="69"/>
      <c r="B43" s="69"/>
      <c r="C43" s="81" t="s">
        <v>2</v>
      </c>
      <c r="D43" s="82" t="s">
        <v>3</v>
      </c>
      <c r="E43" s="69"/>
      <c r="F43" s="52"/>
      <c r="G43" s="196" t="s">
        <v>8</v>
      </c>
      <c r="H43" s="196"/>
      <c r="I43" s="52"/>
      <c r="J43" s="52"/>
      <c r="K43" s="52"/>
    </row>
    <row r="44" spans="1:11" ht="15.75" customHeight="1" thickTop="1" thickBot="1">
      <c r="A44" s="83" t="s">
        <v>17</v>
      </c>
      <c r="B44" s="84" t="s">
        <v>19</v>
      </c>
      <c r="C44" s="85">
        <f>MIN(0.9*POUTRES!E6,40)</f>
        <v>31.5</v>
      </c>
      <c r="D44" s="85">
        <f>MIN(0.9*POUTRES!E6,40)</f>
        <v>31.5</v>
      </c>
      <c r="E44" s="86"/>
      <c r="F44" s="52"/>
      <c r="G44" s="56" t="s">
        <v>2</v>
      </c>
      <c r="H44" s="56" t="s">
        <v>3</v>
      </c>
      <c r="I44" s="52"/>
      <c r="J44" s="52"/>
      <c r="K44" s="52"/>
    </row>
    <row r="45" spans="1:11" ht="15.75" customHeight="1" thickTop="1" thickBot="1">
      <c r="A45" s="83" t="s">
        <v>17</v>
      </c>
      <c r="B45" s="84" t="s">
        <v>18</v>
      </c>
      <c r="C45" s="87">
        <f>D42</f>
        <v>100</v>
      </c>
      <c r="D45" s="88">
        <f>D42</f>
        <v>100</v>
      </c>
      <c r="E45" s="69"/>
      <c r="F45" s="52"/>
      <c r="G45" s="60">
        <f>MIN(C44:C47)</f>
        <v>8.3999999999999986</v>
      </c>
      <c r="H45" s="60">
        <f>MIN(D44:D47)</f>
        <v>17.5</v>
      </c>
      <c r="I45" s="52"/>
      <c r="J45" s="52"/>
      <c r="K45" s="52"/>
    </row>
    <row r="46" spans="1:11" ht="15.75" customHeight="1" thickTop="1">
      <c r="A46" s="83" t="s">
        <v>17</v>
      </c>
      <c r="B46" s="84" t="s">
        <v>16</v>
      </c>
      <c r="C46" s="87">
        <f>(C39*POUTRES!D8)/(0.4*POUTRES!D6)</f>
        <v>67.020643276582263</v>
      </c>
      <c r="D46" s="89">
        <f>C46</f>
        <v>67.020643276582263</v>
      </c>
      <c r="E46" s="69"/>
      <c r="F46" s="52"/>
      <c r="G46" s="52"/>
      <c r="H46" s="52"/>
      <c r="I46" s="52"/>
      <c r="J46" s="52"/>
      <c r="K46" s="52"/>
    </row>
    <row r="47" spans="1:11" ht="15.75" customHeight="1">
      <c r="A47" s="83" t="s">
        <v>15</v>
      </c>
      <c r="B47" s="90" t="s">
        <v>80</v>
      </c>
      <c r="C47" s="87">
        <f>MIN(POUTRES!E6/4,24*D39,17.5,6*POUTRES!D10)</f>
        <v>8.3999999999999986</v>
      </c>
      <c r="D47" s="89">
        <f>IF(POUTRES!D11="Sont nécessaires",MIN(POUTRES!E6/4,12*POUTRES!D10),POUTRES!E6/2)</f>
        <v>17.5</v>
      </c>
      <c r="E47" s="69"/>
      <c r="F47" s="52"/>
      <c r="G47" s="52"/>
      <c r="H47" s="52"/>
      <c r="I47" s="52"/>
      <c r="J47" s="52"/>
      <c r="K47" s="52"/>
    </row>
    <row r="48" spans="1:11" ht="15.75" customHeight="1">
      <c r="A48" s="69"/>
      <c r="B48" s="69"/>
      <c r="C48" s="69"/>
      <c r="D48" s="69"/>
      <c r="E48" s="69"/>
      <c r="F48" s="52"/>
      <c r="G48" s="52"/>
      <c r="H48" s="52"/>
      <c r="I48" s="52"/>
      <c r="J48" s="52"/>
      <c r="K48" s="52"/>
    </row>
    <row r="49" spans="1:11" ht="15.75" customHeight="1">
      <c r="A49" s="69"/>
      <c r="B49" s="69"/>
      <c r="C49" s="69"/>
      <c r="D49" s="69"/>
      <c r="E49" s="69"/>
      <c r="F49" s="52"/>
      <c r="G49" s="52"/>
      <c r="H49" s="52"/>
      <c r="I49" s="52"/>
      <c r="J49" s="52"/>
      <c r="K49" s="52"/>
    </row>
    <row r="50" spans="1:11" ht="23.25">
      <c r="A50" s="69"/>
      <c r="B50" s="197" t="s">
        <v>71</v>
      </c>
      <c r="C50" s="198"/>
      <c r="D50" s="198"/>
      <c r="E50" s="198"/>
      <c r="F50" s="198"/>
      <c r="G50" s="198"/>
      <c r="H50" s="198"/>
      <c r="I50" s="198"/>
      <c r="J50" s="199"/>
      <c r="K50" s="52"/>
    </row>
    <row r="51" spans="1:11" ht="15.75" customHeight="1">
      <c r="A51" s="69"/>
      <c r="B51" s="69"/>
      <c r="C51" s="69"/>
      <c r="D51" s="69"/>
      <c r="E51" s="69"/>
      <c r="F51" s="52"/>
      <c r="G51" s="52"/>
      <c r="H51" s="52"/>
      <c r="I51" s="52"/>
      <c r="J51" s="52"/>
      <c r="K51" s="52"/>
    </row>
    <row r="52" spans="1:11" ht="15.75" customHeight="1">
      <c r="A52" s="69"/>
      <c r="B52" s="69"/>
      <c r="C52" s="69"/>
      <c r="D52" s="69"/>
      <c r="E52" s="69"/>
      <c r="F52" s="52"/>
      <c r="G52" s="52"/>
      <c r="H52" s="52"/>
      <c r="I52" s="52"/>
      <c r="J52" s="52"/>
      <c r="K52" s="52"/>
    </row>
    <row r="53" spans="1:11" ht="15.75" customHeight="1">
      <c r="A53" s="69"/>
      <c r="B53" s="188" t="s">
        <v>81</v>
      </c>
      <c r="C53" s="189"/>
      <c r="D53" s="189"/>
      <c r="E53" s="190"/>
      <c r="F53" s="52"/>
      <c r="G53" s="52"/>
      <c r="H53" s="52"/>
      <c r="I53" s="52"/>
      <c r="J53" s="52"/>
      <c r="K53" s="52"/>
    </row>
    <row r="54" spans="1:11" ht="15.75" customHeight="1">
      <c r="A54" s="69"/>
      <c r="B54" s="91" t="s">
        <v>23</v>
      </c>
      <c r="C54" s="91" t="s">
        <v>88</v>
      </c>
      <c r="D54" s="191" t="s">
        <v>82</v>
      </c>
      <c r="E54" s="191"/>
      <c r="F54" s="52"/>
      <c r="G54" s="52"/>
      <c r="H54" s="52"/>
      <c r="I54" s="52"/>
      <c r="J54" s="52"/>
      <c r="K54" s="52"/>
    </row>
    <row r="55" spans="1:11" ht="15.75" customHeight="1">
      <c r="A55" s="69"/>
      <c r="B55" s="92">
        <f>(POUTRES!I6*1000)/((POUTRES!D6*10)*((POUTRES!E6-(POUTRES!E6/10))*10))</f>
        <v>0.50603174603174605</v>
      </c>
      <c r="C55" s="92">
        <f>IF(POUTRES!I8="Fissuration peu nuisible",MIN(0.2*POUTRES!D9/1.5,5),MIN(0.15*POUTRES!D9/1.5,4))</f>
        <v>3.3333333333333335</v>
      </c>
      <c r="D55" s="192" t="str">
        <f>IF(B55&lt;=C55,"OK","Condition non vérifiée")</f>
        <v>OK</v>
      </c>
      <c r="E55" s="192"/>
      <c r="F55" s="52"/>
      <c r="G55" s="52"/>
      <c r="H55" s="52"/>
      <c r="I55" s="52"/>
      <c r="J55" s="52"/>
      <c r="K55" s="52"/>
    </row>
    <row r="56" spans="1:11" ht="15.75" customHeight="1">
      <c r="A56" s="69"/>
      <c r="B56" s="93"/>
      <c r="C56" s="93"/>
      <c r="D56" s="93"/>
      <c r="E56" s="93"/>
      <c r="F56" s="52"/>
      <c r="G56" s="52"/>
      <c r="H56" s="52"/>
      <c r="I56" s="52"/>
      <c r="J56" s="52"/>
      <c r="K56" s="52"/>
    </row>
    <row r="57" spans="1:11" ht="15.75" customHeight="1">
      <c r="A57" s="69"/>
      <c r="B57" s="188" t="s">
        <v>83</v>
      </c>
      <c r="C57" s="189"/>
      <c r="D57" s="189"/>
      <c r="E57" s="190"/>
      <c r="F57" s="52"/>
      <c r="G57" s="52"/>
      <c r="H57" s="52"/>
      <c r="I57" s="52"/>
      <c r="J57" s="52"/>
      <c r="K57" s="52"/>
    </row>
    <row r="58" spans="1:11" ht="15.75" customHeight="1">
      <c r="A58" s="69"/>
      <c r="B58" s="91" t="s">
        <v>96</v>
      </c>
      <c r="C58" s="91" t="s">
        <v>97</v>
      </c>
      <c r="D58" s="191" t="s">
        <v>82</v>
      </c>
      <c r="E58" s="191"/>
      <c r="F58" s="52"/>
      <c r="G58" s="52"/>
      <c r="H58" s="52"/>
      <c r="I58" s="52"/>
      <c r="J58" s="52"/>
      <c r="K58" s="52"/>
    </row>
    <row r="59" spans="1:11" ht="15.75" customHeight="1">
      <c r="A59" s="69"/>
      <c r="B59" s="92">
        <f>POUTRES!I6</f>
        <v>47.82</v>
      </c>
      <c r="C59" s="92">
        <f>(0.267*POUTRES!D6*10*(POUTRES!I9*10-20-POUTRES!D7*10)*POUTRES!D9)/1000</f>
        <v>911.13750000000005</v>
      </c>
      <c r="D59" s="192" t="str">
        <f>IF(B59&lt;=C59,"OK","Condition non vérifiée")</f>
        <v>OK</v>
      </c>
      <c r="E59" s="192"/>
      <c r="F59" s="52"/>
      <c r="G59" s="52"/>
      <c r="H59" s="52"/>
      <c r="I59" s="52"/>
      <c r="J59" s="52"/>
      <c r="K59" s="52"/>
    </row>
    <row r="60" spans="1:11" ht="15.75" customHeight="1">
      <c r="A60" s="69"/>
      <c r="B60" s="93"/>
      <c r="C60" s="93"/>
      <c r="D60" s="93"/>
      <c r="E60" s="93"/>
      <c r="F60" s="52"/>
      <c r="G60" s="52"/>
      <c r="H60" s="52"/>
      <c r="I60" s="52"/>
      <c r="J60" s="52"/>
      <c r="K60" s="52"/>
    </row>
    <row r="61" spans="1:11" ht="15.75" customHeight="1">
      <c r="A61" s="69"/>
      <c r="B61" s="188" t="s">
        <v>84</v>
      </c>
      <c r="C61" s="189"/>
      <c r="D61" s="189"/>
      <c r="E61" s="190"/>
      <c r="F61" s="52"/>
      <c r="G61" s="52"/>
      <c r="H61" s="52"/>
      <c r="I61" s="52"/>
      <c r="J61" s="52"/>
      <c r="K61" s="52"/>
    </row>
    <row r="62" spans="1:11" ht="15.75" customHeight="1">
      <c r="A62" s="69"/>
      <c r="B62" s="94" t="s">
        <v>85</v>
      </c>
      <c r="C62" s="94" t="s">
        <v>90</v>
      </c>
      <c r="D62" s="191" t="s">
        <v>82</v>
      </c>
      <c r="E62" s="191"/>
      <c r="F62" s="52"/>
      <c r="G62" s="52"/>
      <c r="H62" s="52"/>
      <c r="I62" s="52"/>
      <c r="J62" s="52"/>
      <c r="K62" s="52"/>
    </row>
    <row r="63" spans="1:11" ht="15.75" customHeight="1">
      <c r="A63" s="69"/>
      <c r="B63" s="92">
        <f>POUTRES!I10</f>
        <v>10</v>
      </c>
      <c r="C63" s="92">
        <f>(POUTRES!I6*1000/(POUTRES!D8/1.15))/100</f>
        <v>1.374825</v>
      </c>
      <c r="D63" s="192" t="str">
        <f>IF(B63&gt;=C63,"OK","Condition non vérifiée")</f>
        <v>OK</v>
      </c>
      <c r="E63" s="192"/>
      <c r="F63" s="52"/>
      <c r="G63" s="52"/>
      <c r="H63" s="52"/>
      <c r="I63" s="52"/>
      <c r="J63" s="52"/>
      <c r="K63" s="52"/>
    </row>
    <row r="64" spans="1:11" ht="15.75" customHeight="1">
      <c r="A64" s="69"/>
      <c r="B64" s="93"/>
      <c r="C64" s="93"/>
      <c r="D64" s="93"/>
      <c r="E64" s="93"/>
      <c r="F64" s="52"/>
      <c r="G64" s="52"/>
      <c r="H64" s="52"/>
      <c r="I64" s="52"/>
      <c r="J64" s="52"/>
      <c r="K64" s="52"/>
    </row>
    <row r="65" spans="1:20" ht="15.75" customHeight="1">
      <c r="A65" s="69"/>
      <c r="B65" s="188" t="s">
        <v>86</v>
      </c>
      <c r="C65" s="189"/>
      <c r="D65" s="189"/>
      <c r="E65" s="190"/>
      <c r="F65" s="52"/>
      <c r="G65" s="52"/>
      <c r="H65" s="52"/>
      <c r="I65" s="52"/>
      <c r="J65" s="52"/>
      <c r="K65" s="52"/>
    </row>
    <row r="66" spans="1:20" ht="18">
      <c r="A66" s="69"/>
      <c r="B66" s="95" t="s">
        <v>87</v>
      </c>
      <c r="C66" s="95" t="s">
        <v>95</v>
      </c>
      <c r="D66" s="94" t="s">
        <v>89</v>
      </c>
      <c r="E66" s="96" t="s">
        <v>82</v>
      </c>
      <c r="F66" s="52"/>
      <c r="G66" s="52"/>
      <c r="H66" s="52"/>
      <c r="I66" s="52"/>
      <c r="J66" s="52"/>
      <c r="K66" s="52"/>
    </row>
    <row r="67" spans="1:20" ht="15.75" customHeight="1">
      <c r="A67" s="69"/>
      <c r="B67" s="92">
        <f>POUTRES!I6*2*1000</f>
        <v>95640</v>
      </c>
      <c r="C67" s="92">
        <f>B67/((POUTRES!I9*10-20-POUTRES!D7*10)*POUTRES!D6*10)</f>
        <v>0.70065934065934066</v>
      </c>
      <c r="D67" s="92">
        <f>1.3*POUTRES!D9/1.5</f>
        <v>21.666666666666668</v>
      </c>
      <c r="E67" s="94" t="str">
        <f>IF(C67&lt;=D67,"OK","Condition non vérifiée")</f>
        <v>OK</v>
      </c>
      <c r="F67" s="52"/>
      <c r="G67" s="52"/>
      <c r="H67" s="52"/>
      <c r="I67" s="52"/>
      <c r="J67" s="52"/>
      <c r="K67" s="52"/>
    </row>
    <row r="68" spans="1:20" ht="15.75" customHeight="1" thickBot="1">
      <c r="A68" s="69"/>
      <c r="B68" s="69"/>
      <c r="C68" s="69"/>
      <c r="D68" s="69"/>
      <c r="E68" s="69"/>
      <c r="F68" s="52"/>
      <c r="G68" s="52"/>
      <c r="H68" s="52"/>
      <c r="I68" s="52"/>
      <c r="J68" s="52"/>
      <c r="K68" s="52"/>
    </row>
    <row r="69" spans="1:20" ht="15.75" customHeight="1" thickTop="1" thickBot="1">
      <c r="A69" s="69"/>
      <c r="B69" s="54" t="s">
        <v>111</v>
      </c>
      <c r="C69" s="54" t="s">
        <v>124</v>
      </c>
      <c r="D69" s="54" t="s">
        <v>125</v>
      </c>
      <c r="E69" s="54" t="s">
        <v>126</v>
      </c>
      <c r="F69" s="54" t="s">
        <v>122</v>
      </c>
      <c r="G69" s="54" t="s">
        <v>123</v>
      </c>
      <c r="H69" s="54" t="s">
        <v>127</v>
      </c>
      <c r="J69" s="52"/>
      <c r="K69" s="52"/>
    </row>
    <row r="70" spans="1:20" ht="15.75" customHeight="1" thickTop="1" thickBot="1">
      <c r="A70" s="69"/>
      <c r="B70" s="68" t="str">
        <f>"Lrec = "&amp;IF(OR(POUTRES!$I$7="I",POUTRES!$I$7="II",POUTRES!$I$7="III"),50*POUTRES!$D$10,60*POUTRES!$D$10)&amp; " (cm)"</f>
        <v>Lrec = 84 (cm)</v>
      </c>
      <c r="C70" s="60" t="str">
        <f>"b = "&amp;POUTRES!$D$6&amp;" (cm)"</f>
        <v>b = 30 (cm)</v>
      </c>
      <c r="D70" s="60" t="str">
        <f>"h = "&amp;POUTRES!$E$6&amp;" (cm)"</f>
        <v>h = 35 (cm)</v>
      </c>
      <c r="E70" s="60" t="str">
        <f>"d = "&amp;POUTRES!$D$7&amp;" (cm)"</f>
        <v>d = 2.5 (cm)</v>
      </c>
      <c r="F70" s="97" t="str">
        <f>"S = "&amp;POUTRES!$D$17&amp;" (cm)"</f>
        <v>S = 8 (cm)</v>
      </c>
      <c r="G70" s="60" t="str">
        <f>"S' = "&amp;POUTRES!$D$18&amp;" (cm)"</f>
        <v>S' = 10 (cm)</v>
      </c>
      <c r="H70" s="60" t="str">
        <f>"l' = "&amp;1.5*POUTRES!$E$6&amp;" (cm)"</f>
        <v>l' = 52.5 (cm)</v>
      </c>
      <c r="J70" s="52"/>
      <c r="K70" s="52"/>
    </row>
    <row r="71" spans="1:20" ht="15.75" customHeight="1" thickTop="1">
      <c r="A71" s="69"/>
      <c r="B71" s="69"/>
      <c r="C71" s="69"/>
      <c r="D71" s="69"/>
      <c r="E71" s="69"/>
      <c r="F71" s="52"/>
      <c r="G71" s="52"/>
      <c r="H71" s="52"/>
      <c r="I71" s="52"/>
      <c r="J71" s="52"/>
      <c r="K71" s="52"/>
    </row>
    <row r="72" spans="1:20" ht="15.75" customHeight="1">
      <c r="A72" s="69"/>
      <c r="B72" s="69"/>
      <c r="C72" s="69"/>
      <c r="D72" s="69"/>
      <c r="E72" s="69"/>
      <c r="F72" s="52"/>
      <c r="G72" s="52"/>
      <c r="H72" s="52"/>
      <c r="I72" s="52"/>
      <c r="J72" s="52"/>
      <c r="K72" s="52"/>
    </row>
    <row r="73" spans="1:20" ht="15.75" customHeight="1" thickBot="1">
      <c r="A73" s="69"/>
      <c r="B73" s="69"/>
      <c r="C73" s="69"/>
      <c r="D73" s="69"/>
      <c r="E73" s="69"/>
      <c r="F73" s="52"/>
      <c r="G73" s="52"/>
      <c r="H73" s="52"/>
      <c r="I73" s="52"/>
      <c r="J73" s="52"/>
      <c r="K73" s="52"/>
    </row>
    <row r="74" spans="1:20" ht="28.5" customHeight="1" thickBot="1">
      <c r="A74" s="193" t="s">
        <v>26</v>
      </c>
      <c r="B74" s="194"/>
      <c r="C74" s="194"/>
      <c r="D74" s="194"/>
      <c r="E74" s="194"/>
      <c r="F74" s="194"/>
      <c r="G74" s="194"/>
      <c r="H74" s="194"/>
      <c r="I74" s="194"/>
      <c r="J74" s="194"/>
      <c r="K74" s="195"/>
    </row>
    <row r="75" spans="1:20" ht="15.7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14"/>
      <c r="M75" s="14"/>
      <c r="N75" s="14"/>
      <c r="O75" s="14"/>
      <c r="P75" s="14"/>
      <c r="Q75" s="14"/>
      <c r="R75" s="14"/>
      <c r="S75" s="14"/>
      <c r="T75" s="14"/>
    </row>
    <row r="76" spans="1:20" ht="15.75" customHeight="1" thickBot="1">
      <c r="A76" s="93"/>
      <c r="B76" s="93"/>
      <c r="C76" s="93"/>
      <c r="D76" s="93"/>
      <c r="E76" s="93"/>
      <c r="F76" s="93"/>
      <c r="G76" s="93"/>
      <c r="H76" s="93"/>
      <c r="I76" s="93"/>
      <c r="J76" s="52"/>
      <c r="K76" s="93"/>
      <c r="L76" s="14"/>
      <c r="M76" s="14"/>
      <c r="N76" s="14"/>
      <c r="O76" s="14"/>
      <c r="P76" s="14"/>
      <c r="Q76" s="14"/>
      <c r="R76" s="14"/>
      <c r="S76" s="14"/>
      <c r="T76" s="14"/>
    </row>
    <row r="77" spans="1:20" ht="15.75" customHeight="1" thickTop="1" thickBot="1">
      <c r="A77" s="93"/>
      <c r="B77" s="93"/>
      <c r="C77" s="59" t="s">
        <v>27</v>
      </c>
      <c r="D77" s="59" t="s">
        <v>28</v>
      </c>
      <c r="E77" s="93"/>
      <c r="F77" s="93"/>
      <c r="G77" s="93"/>
      <c r="H77" s="93"/>
      <c r="I77" s="93"/>
      <c r="J77" s="52"/>
      <c r="K77" s="93"/>
      <c r="L77" s="14"/>
      <c r="M77" s="14"/>
      <c r="N77" s="14"/>
      <c r="O77" s="14"/>
      <c r="P77" s="14"/>
      <c r="Q77" s="14"/>
      <c r="R77" s="14"/>
      <c r="S77" s="14"/>
      <c r="T77" s="14"/>
    </row>
    <row r="78" spans="1:20" ht="15.75" customHeight="1" thickTop="1" thickBot="1">
      <c r="A78" s="93"/>
      <c r="B78" s="93"/>
      <c r="C78" s="98">
        <v>0.6</v>
      </c>
      <c r="D78" s="99">
        <v>215</v>
      </c>
      <c r="E78" s="93"/>
      <c r="F78" s="93"/>
      <c r="G78" s="93"/>
      <c r="H78" s="93"/>
      <c r="I78" s="93"/>
      <c r="J78" s="52"/>
      <c r="K78" s="93"/>
      <c r="L78" s="14"/>
      <c r="M78" s="14"/>
      <c r="N78" s="14"/>
      <c r="O78" s="14"/>
      <c r="P78" s="14"/>
      <c r="Q78" s="14"/>
      <c r="R78" s="14"/>
      <c r="S78" s="14"/>
      <c r="T78" s="14"/>
    </row>
    <row r="79" spans="1:20" ht="15.75" customHeight="1" thickTop="1" thickBot="1">
      <c r="A79" s="93"/>
      <c r="B79" s="93"/>
      <c r="C79" s="98">
        <v>0.8</v>
      </c>
      <c r="D79" s="99">
        <v>235</v>
      </c>
      <c r="E79" s="93"/>
      <c r="F79" s="93"/>
      <c r="G79" s="93"/>
      <c r="H79" s="93"/>
      <c r="I79" s="93"/>
      <c r="J79" s="52"/>
      <c r="K79" s="93"/>
      <c r="L79" s="14"/>
      <c r="M79" s="14"/>
      <c r="N79" s="14"/>
      <c r="O79" s="14"/>
      <c r="P79" s="14"/>
      <c r="Q79" s="14"/>
      <c r="R79" s="14"/>
      <c r="S79" s="14"/>
      <c r="T79" s="14"/>
    </row>
    <row r="80" spans="1:20" ht="15.75" customHeight="1" thickTop="1" thickBot="1">
      <c r="A80" s="93"/>
      <c r="B80" s="93"/>
      <c r="C80" s="98">
        <v>1</v>
      </c>
      <c r="D80" s="99">
        <v>400</v>
      </c>
      <c r="E80" s="93"/>
      <c r="F80" s="93"/>
      <c r="G80" s="93"/>
      <c r="H80" s="93"/>
      <c r="I80" s="93"/>
      <c r="J80" s="52"/>
      <c r="K80" s="93"/>
      <c r="L80" s="14"/>
      <c r="M80" s="14"/>
      <c r="N80" s="14"/>
      <c r="O80" s="14"/>
      <c r="P80" s="14"/>
      <c r="Q80" s="14"/>
      <c r="R80" s="14"/>
      <c r="S80" s="14"/>
      <c r="T80" s="14"/>
    </row>
    <row r="81" spans="1:20" ht="15.75" customHeight="1" thickTop="1" thickBot="1">
      <c r="A81" s="93"/>
      <c r="B81" s="93"/>
      <c r="C81" s="98">
        <v>1.2</v>
      </c>
      <c r="D81" s="99">
        <v>500</v>
      </c>
      <c r="E81" s="93"/>
      <c r="F81" s="93"/>
      <c r="G81" s="93"/>
      <c r="H81" s="93"/>
      <c r="I81" s="93"/>
      <c r="J81" s="52"/>
      <c r="K81" s="93"/>
      <c r="L81" s="14"/>
      <c r="M81" s="14"/>
      <c r="N81" s="14"/>
    </row>
    <row r="82" spans="1:20" ht="15.75" customHeight="1" thickTop="1" thickBot="1">
      <c r="A82" s="93"/>
      <c r="B82" s="93"/>
      <c r="C82" s="98">
        <v>1.4</v>
      </c>
      <c r="D82" s="52"/>
      <c r="E82" s="93"/>
      <c r="F82" s="93"/>
      <c r="G82" s="93"/>
      <c r="H82" s="93"/>
      <c r="I82" s="93"/>
      <c r="J82" s="52"/>
      <c r="K82" s="93"/>
      <c r="L82" s="14"/>
      <c r="M82" s="14"/>
      <c r="N82" s="14"/>
      <c r="O82" s="14"/>
      <c r="P82" s="14"/>
      <c r="Q82" s="14"/>
      <c r="R82" s="14"/>
      <c r="S82" s="14"/>
      <c r="T82" s="14"/>
    </row>
    <row r="83" spans="1:20" ht="15.75" customHeight="1" thickTop="1" thickBot="1">
      <c r="A83" s="93"/>
      <c r="B83" s="93"/>
      <c r="C83" s="98">
        <v>1.6</v>
      </c>
      <c r="D83" s="93"/>
      <c r="E83" s="93"/>
      <c r="F83" s="93"/>
      <c r="G83" s="93"/>
      <c r="H83" s="93"/>
      <c r="I83" s="93"/>
      <c r="J83" s="52"/>
      <c r="K83" s="93"/>
      <c r="L83" s="14"/>
      <c r="M83" s="14"/>
      <c r="N83" s="14"/>
      <c r="O83" s="14"/>
      <c r="P83" s="14"/>
      <c r="Q83" s="14"/>
      <c r="R83" s="14"/>
      <c r="S83" s="14"/>
      <c r="T83" s="14"/>
    </row>
    <row r="84" spans="1:20" ht="15.75" customHeight="1" thickTop="1" thickBot="1">
      <c r="A84" s="52"/>
      <c r="B84" s="52"/>
      <c r="C84" s="98">
        <v>2</v>
      </c>
      <c r="D84" s="52"/>
      <c r="E84" s="52"/>
      <c r="F84" s="52"/>
      <c r="G84" s="52"/>
      <c r="H84" s="52"/>
      <c r="I84" s="52"/>
      <c r="J84" s="52"/>
      <c r="K84" s="52"/>
    </row>
    <row r="85" spans="1:20" ht="15.75" customHeight="1" thickTop="1" thickBot="1">
      <c r="A85" s="52"/>
      <c r="B85" s="52"/>
      <c r="C85" s="98">
        <v>2.5</v>
      </c>
      <c r="D85" s="52"/>
      <c r="E85" s="52"/>
      <c r="F85" s="52"/>
      <c r="G85" s="52"/>
      <c r="H85" s="52"/>
      <c r="I85" s="52"/>
      <c r="J85" s="52"/>
      <c r="K85" s="52"/>
    </row>
    <row r="86" spans="1:20" ht="15.75" customHeight="1" thickTop="1" thickBot="1">
      <c r="A86" s="52"/>
      <c r="B86" s="52"/>
      <c r="C86" s="98">
        <v>3</v>
      </c>
      <c r="D86" s="52"/>
      <c r="E86" s="52"/>
      <c r="F86" s="52"/>
      <c r="G86" s="52"/>
      <c r="H86" s="52"/>
      <c r="I86" s="52"/>
      <c r="J86" s="52"/>
      <c r="K86" s="52"/>
    </row>
    <row r="87" spans="1:20" ht="15.75" customHeight="1" thickTop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</row>
    <row r="88" spans="1:20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</row>
    <row r="89" spans="1:20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</row>
    <row r="90" spans="1:2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</row>
    <row r="91" spans="1:20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</row>
    <row r="92" spans="1:20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</row>
    <row r="93" spans="1:20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</row>
    <row r="94" spans="1:20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</row>
    <row r="95" spans="1:20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</row>
    <row r="96" spans="1:20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</row>
    <row r="97" spans="1:11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</row>
    <row r="98" spans="1:11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</row>
    <row r="99" spans="1:11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</row>
    <row r="100" spans="1:11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</row>
    <row r="101" spans="1:1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</row>
    <row r="102" spans="1:11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</row>
    <row r="103" spans="1:11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</row>
    <row r="104" spans="1:11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</row>
    <row r="105" spans="1:11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</row>
    <row r="106" spans="1:11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</row>
    <row r="107" spans="1:11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</row>
    <row r="108" spans="1:11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</row>
    <row r="109" spans="1:11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</row>
    <row r="110" spans="1:11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</row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19">
    <mergeCell ref="A2:K2"/>
    <mergeCell ref="D3:K3"/>
    <mergeCell ref="A31:K31"/>
    <mergeCell ref="D32:K32"/>
    <mergeCell ref="G43:H43"/>
    <mergeCell ref="B34:J34"/>
    <mergeCell ref="B61:E61"/>
    <mergeCell ref="D62:E62"/>
    <mergeCell ref="D63:E63"/>
    <mergeCell ref="A74:K74"/>
    <mergeCell ref="G10:H10"/>
    <mergeCell ref="B50:J50"/>
    <mergeCell ref="B53:E53"/>
    <mergeCell ref="D54:E54"/>
    <mergeCell ref="D55:E55"/>
    <mergeCell ref="B57:E57"/>
    <mergeCell ref="B65:E65"/>
    <mergeCell ref="D58:E58"/>
    <mergeCell ref="D59:E59"/>
  </mergeCells>
  <pageMargins left="0.7" right="0.7" top="0.75" bottom="0.75" header="0" footer="0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POTEAUX </vt:lpstr>
      <vt:lpstr>POUTRES</vt:lpstr>
      <vt:lpstr>About</vt:lpstr>
      <vt:lpstr>CALCUL</vt:lpstr>
      <vt:lpstr>b</vt:lpstr>
      <vt:lpstr>bc</vt:lpstr>
      <vt:lpstr>Co</vt:lpstr>
      <vt:lpstr>d</vt:lpstr>
      <vt:lpstr>DIAM</vt:lpstr>
      <vt:lpstr>DIAMETRE</vt:lpstr>
      <vt:lpstr>dp</vt:lpstr>
      <vt:lpstr>h</vt:lpstr>
      <vt:lpstr>hc</vt:lpstr>
      <vt:lpstr>Lcl</vt:lpstr>
      <vt:lpstr>Lcr</vt:lpstr>
      <vt:lpstr>lcrp</vt:lpstr>
      <vt:lpstr>Lrec</vt:lpstr>
      <vt:lpstr>Lrp</vt:lpstr>
      <vt:lpstr>S</vt:lpstr>
      <vt:lpstr>Sp</vt:lpstr>
      <vt:lpstr>t</vt:lpstr>
      <vt:lpstr>tc</vt:lpstr>
    </vt:vector>
  </TitlesOfParts>
  <Manager>Morsli hammou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Morsli Hammou</cp:lastModifiedBy>
  <cp:revision>10052025</cp:revision>
  <dcterms:created xsi:type="dcterms:W3CDTF">2006-09-12T15:06:44Z</dcterms:created>
  <dcterms:modified xsi:type="dcterms:W3CDTF">2026-02-27T21:19:31Z</dcterms:modified>
  <cp:version>version 1.2</cp:version>
</cp:coreProperties>
</file>